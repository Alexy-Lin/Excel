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5a765eebc83cbb/文档/excel教学/"/>
    </mc:Choice>
  </mc:AlternateContent>
  <xr:revisionPtr revIDLastSave="577" documentId="8_{3E1ECFED-7EF9-4F70-AD17-8363ECB11ECC}" xr6:coauthVersionLast="47" xr6:coauthVersionMax="47" xr10:uidLastSave="{5B4A8115-B2A4-45E6-90B0-A6313CDB040B}"/>
  <bookViews>
    <workbookView xWindow="-98" yWindow="-98" windowWidth="21795" windowHeight="12975" activeTab="3" xr2:uid="{5A89D853-E08E-4EAF-AFC3-83841DD658ED}"/>
  </bookViews>
  <sheets>
    <sheet name="原始表" sheetId="2" r:id="rId1"/>
    <sheet name="表1" sheetId="4" r:id="rId2"/>
    <sheet name="透视表" sheetId="5" r:id="rId3"/>
    <sheet name="看板" sheetId="8" r:id="rId4"/>
  </sheets>
  <definedNames>
    <definedName name="ExternalData_1" localSheetId="1" hidden="1">'表1'!$A$1:$L$61</definedName>
    <definedName name="切片器_部门">#N/A</definedName>
    <definedName name="切片器_岗级">#N/A</definedName>
  </definedNames>
  <calcPr calcId="191029"/>
  <pivotCaches>
    <pivotCache cacheId="5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H3" i="2"/>
  <c r="H40" i="2"/>
  <c r="H28" i="2"/>
  <c r="H4" i="2"/>
  <c r="H41" i="2"/>
  <c r="H29" i="2"/>
  <c r="H5" i="2"/>
  <c r="H42" i="2"/>
  <c r="H30" i="2"/>
  <c r="H6" i="2"/>
  <c r="H7" i="2"/>
  <c r="H43" i="2"/>
  <c r="H31" i="2"/>
  <c r="H8" i="2"/>
  <c r="H44" i="2"/>
  <c r="H9" i="2"/>
  <c r="H45" i="2"/>
  <c r="H32" i="2"/>
  <c r="H10" i="2"/>
  <c r="H46" i="2"/>
  <c r="H11" i="2"/>
  <c r="H47" i="2"/>
  <c r="H33" i="2"/>
  <c r="H12" i="2"/>
  <c r="H48" i="2"/>
  <c r="H13" i="2"/>
  <c r="H49" i="2"/>
  <c r="H34" i="2"/>
  <c r="H14" i="2"/>
  <c r="H50" i="2"/>
  <c r="H15" i="2"/>
  <c r="H51" i="2"/>
  <c r="H35" i="2"/>
  <c r="H16" i="2"/>
  <c r="H52" i="2"/>
  <c r="H17" i="2"/>
  <c r="H53" i="2"/>
  <c r="H36" i="2"/>
  <c r="H18" i="2"/>
  <c r="H54" i="2"/>
  <c r="H19" i="2"/>
  <c r="H37" i="2"/>
  <c r="H55" i="2"/>
  <c r="H20" i="2"/>
  <c r="H56" i="2"/>
  <c r="H21" i="2"/>
  <c r="H57" i="2"/>
  <c r="H22" i="2"/>
  <c r="H38" i="2"/>
  <c r="H23" i="2"/>
  <c r="H58" i="2"/>
  <c r="H24" i="2"/>
  <c r="H59" i="2"/>
  <c r="H25" i="2"/>
  <c r="H60" i="2"/>
  <c r="H26" i="2"/>
  <c r="H61" i="2"/>
  <c r="H27" i="2"/>
  <c r="H39" i="2"/>
  <c r="H2" i="2"/>
  <c r="J3" i="2"/>
  <c r="J40" i="2"/>
  <c r="J28" i="2"/>
  <c r="J4" i="2"/>
  <c r="J41" i="2"/>
  <c r="J29" i="2"/>
  <c r="J5" i="2"/>
  <c r="J42" i="2"/>
  <c r="J30" i="2"/>
  <c r="J6" i="2"/>
  <c r="J7" i="2"/>
  <c r="J43" i="2"/>
  <c r="J31" i="2"/>
  <c r="J8" i="2"/>
  <c r="J44" i="2"/>
  <c r="J9" i="2"/>
  <c r="J45" i="2"/>
  <c r="J32" i="2"/>
  <c r="J10" i="2"/>
  <c r="J46" i="2"/>
  <c r="J11" i="2"/>
  <c r="J47" i="2"/>
  <c r="J33" i="2"/>
  <c r="J12" i="2"/>
  <c r="J48" i="2"/>
  <c r="J13" i="2"/>
  <c r="J49" i="2"/>
  <c r="J34" i="2"/>
  <c r="J14" i="2"/>
  <c r="J50" i="2"/>
  <c r="J15" i="2"/>
  <c r="J51" i="2"/>
  <c r="J35" i="2"/>
  <c r="J16" i="2"/>
  <c r="J52" i="2"/>
  <c r="J17" i="2"/>
  <c r="J53" i="2"/>
  <c r="J36" i="2"/>
  <c r="J18" i="2"/>
  <c r="J54" i="2"/>
  <c r="J19" i="2"/>
  <c r="J37" i="2"/>
  <c r="J55" i="2"/>
  <c r="J20" i="2"/>
  <c r="J56" i="2"/>
  <c r="J21" i="2"/>
  <c r="J57" i="2"/>
  <c r="J22" i="2"/>
  <c r="J38" i="2"/>
  <c r="J23" i="2"/>
  <c r="J58" i="2"/>
  <c r="J24" i="2"/>
  <c r="J59" i="2"/>
  <c r="J25" i="2"/>
  <c r="J60" i="2"/>
  <c r="J26" i="2"/>
  <c r="J61" i="2"/>
  <c r="J27" i="2"/>
  <c r="J39" i="2"/>
  <c r="A12" i="5"/>
  <c r="A8" i="5"/>
  <c r="B3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EB838-A256-4FAE-807C-64731EEF9086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<sst xmlns="http://schemas.openxmlformats.org/spreadsheetml/2006/main" count="1106" uniqueCount="240">
  <si>
    <t>员工ID</t>
  </si>
  <si>
    <t>姓名</t>
  </si>
  <si>
    <t>部门</t>
  </si>
  <si>
    <t>岗位</t>
  </si>
  <si>
    <t>入职日期</t>
  </si>
  <si>
    <t>年龄</t>
  </si>
  <si>
    <t>性别</t>
  </si>
  <si>
    <t>学历</t>
  </si>
  <si>
    <t>司龄(年)</t>
  </si>
  <si>
    <t>月薪(元)</t>
  </si>
  <si>
    <t>E001</t>
  </si>
  <si>
    <t>张三</t>
  </si>
  <si>
    <t>技术部</t>
  </si>
  <si>
    <t>开发工程师</t>
  </si>
  <si>
    <t>男</t>
  </si>
  <si>
    <t>本科</t>
  </si>
  <si>
    <t>优秀</t>
  </si>
  <si>
    <t>岗位编号</t>
  </si>
  <si>
    <t>序号</t>
  </si>
  <si>
    <t>出生年份</t>
  </si>
  <si>
    <t>岗级</t>
  </si>
  <si>
    <t>绩效总评</t>
  </si>
  <si>
    <t>P8</t>
  </si>
  <si>
    <t>T001</t>
  </si>
  <si>
    <t>P4</t>
  </si>
  <si>
    <t>合格</t>
  </si>
  <si>
    <t>T002</t>
  </si>
  <si>
    <t>E002</t>
  </si>
  <si>
    <t>李四</t>
  </si>
  <si>
    <t>测试工程师</t>
  </si>
  <si>
    <t>女</t>
  </si>
  <si>
    <t>硕士</t>
  </si>
  <si>
    <t>良好</t>
  </si>
  <si>
    <t>销售部</t>
  </si>
  <si>
    <t>S001</t>
  </si>
  <si>
    <t>E003</t>
  </si>
  <si>
    <t>王五</t>
  </si>
  <si>
    <t>销售专员</t>
  </si>
  <si>
    <t>P5</t>
  </si>
  <si>
    <t>项目管理部</t>
  </si>
  <si>
    <t>P001</t>
  </si>
  <si>
    <t>E004</t>
  </si>
  <si>
    <t>赵六</t>
  </si>
  <si>
    <t>项目管理员</t>
  </si>
  <si>
    <t>T003</t>
  </si>
  <si>
    <t>E005</t>
  </si>
  <si>
    <t>钱七</t>
  </si>
  <si>
    <t>架构师</t>
  </si>
  <si>
    <t>P6</t>
  </si>
  <si>
    <t>S002</t>
  </si>
  <si>
    <t>E006</t>
  </si>
  <si>
    <t>孙八</t>
  </si>
  <si>
    <t>销售经理</t>
  </si>
  <si>
    <t>P7</t>
  </si>
  <si>
    <t>P002</t>
  </si>
  <si>
    <t>E007</t>
  </si>
  <si>
    <t>周九</t>
  </si>
  <si>
    <t>项目经理</t>
  </si>
  <si>
    <t>T004</t>
  </si>
  <si>
    <t>E008</t>
  </si>
  <si>
    <t>吴十</t>
  </si>
  <si>
    <t>数据分析师</t>
  </si>
  <si>
    <t>S003</t>
  </si>
  <si>
    <t>E009</t>
  </si>
  <si>
    <t>郑一</t>
  </si>
  <si>
    <t>大区总监</t>
  </si>
  <si>
    <t>P003</t>
  </si>
  <si>
    <t>E010</t>
  </si>
  <si>
    <t>王二</t>
  </si>
  <si>
    <t>T005</t>
  </si>
  <si>
    <t>E011</t>
  </si>
  <si>
    <t>陈三</t>
  </si>
  <si>
    <t>前端工程师</t>
  </si>
  <si>
    <t>T006</t>
  </si>
  <si>
    <t>E012</t>
  </si>
  <si>
    <t>刘四</t>
  </si>
  <si>
    <t>后端工程师</t>
  </si>
  <si>
    <t>S004</t>
  </si>
  <si>
    <t>E013</t>
  </si>
  <si>
    <t>张五</t>
  </si>
  <si>
    <t>销售主管</t>
  </si>
  <si>
    <t>P004</t>
  </si>
  <si>
    <t>E014</t>
  </si>
  <si>
    <t>李六</t>
  </si>
  <si>
    <t>T007</t>
  </si>
  <si>
    <t>E015</t>
  </si>
  <si>
    <t>王七</t>
  </si>
  <si>
    <t>算法工程师</t>
  </si>
  <si>
    <t>S005</t>
  </si>
  <si>
    <t>E016</t>
  </si>
  <si>
    <t>赵八</t>
  </si>
  <si>
    <t>客户经理</t>
  </si>
  <si>
    <t>T008</t>
  </si>
  <si>
    <t>E017</t>
  </si>
  <si>
    <t>钱九</t>
  </si>
  <si>
    <t>测试主管</t>
  </si>
  <si>
    <t>S006</t>
  </si>
  <si>
    <t>E018</t>
  </si>
  <si>
    <t>孙十</t>
  </si>
  <si>
    <t>P005</t>
  </si>
  <si>
    <t>E019</t>
  </si>
  <si>
    <t>周一</t>
  </si>
  <si>
    <t>T009</t>
  </si>
  <si>
    <t>E020</t>
  </si>
  <si>
    <t>吴二</t>
  </si>
  <si>
    <t>S007</t>
  </si>
  <si>
    <t>E021</t>
  </si>
  <si>
    <t>郑三</t>
  </si>
  <si>
    <t>T010</t>
  </si>
  <si>
    <t>E022</t>
  </si>
  <si>
    <t>王四</t>
  </si>
  <si>
    <t>数据科学家</t>
  </si>
  <si>
    <t>S008</t>
  </si>
  <si>
    <t>E023</t>
  </si>
  <si>
    <t>李五</t>
  </si>
  <si>
    <t>客户主管</t>
  </si>
  <si>
    <t>P006</t>
  </si>
  <si>
    <t>E024</t>
  </si>
  <si>
    <t>张六</t>
  </si>
  <si>
    <t>T011</t>
  </si>
  <si>
    <t>E025</t>
  </si>
  <si>
    <t>赵七</t>
  </si>
  <si>
    <t>算法专家</t>
  </si>
  <si>
    <t>S009</t>
  </si>
  <si>
    <t>E026</t>
  </si>
  <si>
    <t>钱八</t>
  </si>
  <si>
    <t>销售总监</t>
  </si>
  <si>
    <t>T012</t>
  </si>
  <si>
    <t>E027</t>
  </si>
  <si>
    <t>孙九</t>
  </si>
  <si>
    <t>S010</t>
  </si>
  <si>
    <t>E028</t>
  </si>
  <si>
    <t>周十</t>
  </si>
  <si>
    <t>P007</t>
  </si>
  <si>
    <t>E029</t>
  </si>
  <si>
    <t>吴一</t>
  </si>
  <si>
    <t>T013</t>
  </si>
  <si>
    <t>E030</t>
  </si>
  <si>
    <t>郑二</t>
  </si>
  <si>
    <t>S011</t>
  </si>
  <si>
    <t>E031</t>
  </si>
  <si>
    <t>王三</t>
  </si>
  <si>
    <t>T014</t>
  </si>
  <si>
    <t>E032</t>
  </si>
  <si>
    <t>S012</t>
  </si>
  <si>
    <t>E033</t>
  </si>
  <si>
    <t>P008</t>
  </si>
  <si>
    <t>E034</t>
  </si>
  <si>
    <t>T015</t>
  </si>
  <si>
    <t>E035</t>
  </si>
  <si>
    <t>S013</t>
  </si>
  <si>
    <t>E036</t>
  </si>
  <si>
    <t>T016</t>
  </si>
  <si>
    <t>E037</t>
  </si>
  <si>
    <t>S014</t>
  </si>
  <si>
    <t>E038</t>
  </si>
  <si>
    <t>P009</t>
  </si>
  <si>
    <t>E039</t>
  </si>
  <si>
    <t>T017</t>
  </si>
  <si>
    <t>E040</t>
  </si>
  <si>
    <t>S015</t>
  </si>
  <si>
    <t>E041</t>
  </si>
  <si>
    <t>李二</t>
  </si>
  <si>
    <t>T018</t>
  </si>
  <si>
    <t>E042</t>
  </si>
  <si>
    <t>P010</t>
  </si>
  <si>
    <t>E043</t>
  </si>
  <si>
    <t>S016</t>
  </si>
  <si>
    <t>E044</t>
  </si>
  <si>
    <t>赵五</t>
  </si>
  <si>
    <t>T019</t>
  </si>
  <si>
    <t>E045</t>
  </si>
  <si>
    <t>钱六</t>
  </si>
  <si>
    <t>S017</t>
  </si>
  <si>
    <t>E046</t>
  </si>
  <si>
    <t>孙七</t>
  </si>
  <si>
    <t>T020</t>
  </si>
  <si>
    <t>E047</t>
  </si>
  <si>
    <t>周八</t>
  </si>
  <si>
    <t>S018</t>
  </si>
  <si>
    <t>E048</t>
  </si>
  <si>
    <t>吴九</t>
  </si>
  <si>
    <t>T021</t>
  </si>
  <si>
    <t>E049</t>
  </si>
  <si>
    <t>郑十</t>
  </si>
  <si>
    <t>P011</t>
  </si>
  <si>
    <t>E050</t>
  </si>
  <si>
    <t>王一</t>
  </si>
  <si>
    <t>T022</t>
  </si>
  <si>
    <t>E051</t>
  </si>
  <si>
    <t>S019</t>
  </si>
  <si>
    <t>E052</t>
  </si>
  <si>
    <t>T023</t>
  </si>
  <si>
    <t>E053</t>
  </si>
  <si>
    <t>S020</t>
  </si>
  <si>
    <t>E054</t>
  </si>
  <si>
    <t>T024</t>
  </si>
  <si>
    <t>E055</t>
  </si>
  <si>
    <t>S021</t>
  </si>
  <si>
    <t>E056</t>
  </si>
  <si>
    <t>T025</t>
  </si>
  <si>
    <t>E057</t>
  </si>
  <si>
    <t>S022</t>
  </si>
  <si>
    <t>E058</t>
  </si>
  <si>
    <t>T026</t>
  </si>
  <si>
    <t>E059</t>
  </si>
  <si>
    <t>P012</t>
  </si>
  <si>
    <t>E060</t>
  </si>
  <si>
    <t>不合格</t>
  </si>
  <si>
    <t>行标签</t>
  </si>
  <si>
    <t>总计</t>
  </si>
  <si>
    <t>司龄分布</t>
  </si>
  <si>
    <t>年龄分布</t>
  </si>
  <si>
    <t>3-5年</t>
  </si>
  <si>
    <t>30以下</t>
  </si>
  <si>
    <t>5-10年</t>
  </si>
  <si>
    <t>30-35</t>
  </si>
  <si>
    <t>35-40</t>
  </si>
  <si>
    <t>3年以下</t>
  </si>
  <si>
    <t>10年以上</t>
  </si>
  <si>
    <t>40以上</t>
  </si>
  <si>
    <t>列标签</t>
  </si>
  <si>
    <t>计数项:员工ID</t>
  </si>
  <si>
    <t>平均值项:月薪(元)</t>
  </si>
  <si>
    <t>博士</t>
  </si>
  <si>
    <t>博士</t>
    <phoneticPr fontId="4" type="noConversion"/>
  </si>
  <si>
    <t>年薪</t>
  </si>
  <si>
    <t>求和项:年薪</t>
  </si>
  <si>
    <t>年龄结构</t>
    <phoneticPr fontId="4" type="noConversion"/>
  </si>
  <si>
    <t>学历分布</t>
    <phoneticPr fontId="4" type="noConversion"/>
  </si>
  <si>
    <t>性别组成</t>
    <phoneticPr fontId="4" type="noConversion"/>
  </si>
  <si>
    <t>总人力成本（年）</t>
    <phoneticPr fontId="4" type="noConversion"/>
  </si>
  <si>
    <t>总人数</t>
    <phoneticPr fontId="4" type="noConversion"/>
  </si>
  <si>
    <t>平均月薪</t>
  </si>
  <si>
    <t>平均月薪</t>
    <phoneticPr fontId="4" type="noConversion"/>
  </si>
  <si>
    <t>Y公司人力资源看板</t>
    <phoneticPr fontId="4" type="noConversion"/>
  </si>
  <si>
    <t>工作年限</t>
    <phoneticPr fontId="4" type="noConversion"/>
  </si>
  <si>
    <t>月薪合计</t>
  </si>
  <si>
    <t>岗位薪资结构</t>
    <phoneticPr fontId="4" type="noConversion"/>
  </si>
  <si>
    <t>绩效汇总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</si>
</sst>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44" formatCode="_ &quot;¥&quot;* #,##0.00_ ;_ &quot;¥&quot;* \-#,##0.00_ ;_ &quot;¥&quot;* &quot;-&quot;??_ ;_ @_ "/>
    <numFmt numFmtId="182" formatCode="0_);[Red]\(0\)"/>
    <numFmt numFmtId="183" formatCode="_ [$¥-804]* #,##0_ ;_ [$¥-804]* \-#,##0_ ;_ [$¥-804]* &quot;-&quot;??_ ;_ @_ "/>
    <numFmt numFmtId="187" formatCode="_ &quot;¥&quot;* #,##0_ ;_ &quot;¥&quot;* \-#,##0_ ;_ &quot;¥&quot;* &quot;-&quot;??_ ;_ @_ "/>
  </numFmts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2"/>
      <color theme="0"/>
      <name val="等线 Light"/>
      <family val="3"/>
      <charset val="134"/>
      <scheme val="major"/>
    </font>
    <font>
      <b/>
      <sz val="36"/>
      <color theme="1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24"/>
      <color theme="0"/>
      <name val="等线 Light"/>
      <family val="3"/>
      <charset val="134"/>
      <scheme val="major"/>
    </font>
    <font>
      <b/>
      <sz val="18"/>
      <color theme="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82" fontId="5" fillId="0" borderId="0" xfId="0" applyNumberFormat="1" applyFont="1" applyAlignment="1">
      <alignment horizontal="center" vertical="center" wrapText="1"/>
    </xf>
    <xf numFmtId="182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6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3" fontId="7" fillId="0" borderId="1" xfId="1" applyNumberFormat="1" applyFont="1" applyBorder="1" applyAlignment="1">
      <alignment horizontal="center" vertical="center"/>
    </xf>
    <xf numFmtId="187" fontId="0" fillId="0" borderId="0" xfId="1" applyNumberFormat="1" applyFont="1">
      <alignment vertical="center"/>
    </xf>
    <xf numFmtId="183" fontId="0" fillId="0" borderId="0" xfId="0" applyNumberFormat="1">
      <alignment vertical="center"/>
    </xf>
    <xf numFmtId="0" fontId="8" fillId="3" borderId="1" xfId="3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5" fontId="0" fillId="0" borderId="0" xfId="0" applyNumberFormat="1">
      <alignment vertical="center"/>
    </xf>
    <xf numFmtId="0" fontId="10" fillId="3" borderId="1" xfId="0" applyFont="1" applyFill="1" applyBorder="1" applyAlignment="1">
      <alignment horizontal="center" vertical="center"/>
    </xf>
  </cellXfs>
  <cellStyles count="4">
    <cellStyle name="标题" xfId="2" builtinId="15"/>
    <cellStyle name="常规" xfId="0" builtinId="0"/>
    <cellStyle name="货币" xfId="1" builtinId="4"/>
    <cellStyle name="着色 1" xfId="3" builtinId="29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82" formatCode="0_);[Red]\(0\)"/>
      <alignment horizontal="center" vertical="center" textRotation="0" wrapText="1" indent="0" justifyLastLine="0" shrinkToFit="0" readingOrder="0"/>
    </dxf>
    <dxf>
      <numFmt numFmtId="19" formatCode="yyyy/m/d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[人力资源看板.xlsx]透视表!数据透视表11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48790855794787"/>
              <c:y val="0.128502395906668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554155082782656E-2"/>
              <c:y val="-0.1149758279164931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10515910182628"/>
              <c:y val="6.7632839950878326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777077541391327"/>
              <c:y val="4.734298796561482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0199412815315032E-2"/>
          <c:y val="8.3933952005180567E-3"/>
          <c:w val="0.85015848051589149"/>
          <c:h val="0.97644992560387589"/>
        </c:manualLayout>
      </c:layout>
      <c:pieChart>
        <c:varyColors val="1"/>
        <c:ser>
          <c:idx val="0"/>
          <c:order val="0"/>
          <c:tx>
            <c:strRef>
              <c:f>透视表!$B$14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8A-4956-9D59-F73AFB7A9B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8A-4956-9D59-F73AFB7A9B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8A-4956-9D59-F73AFB7A9B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8A-4956-9D59-F73AFB7A9BD4}"/>
              </c:ext>
            </c:extLst>
          </c:dPt>
          <c:dLbls>
            <c:dLbl>
              <c:idx val="0"/>
              <c:layout>
                <c:manualLayout>
                  <c:x val="-0.1648790855794787"/>
                  <c:y val="0.1285023959066687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8A-4956-9D59-F73AFB7A9BD4}"/>
                </c:ext>
              </c:extLst>
            </c:dLbl>
            <c:dLbl>
              <c:idx val="1"/>
              <c:layout>
                <c:manualLayout>
                  <c:x val="-2.3554155082782656E-2"/>
                  <c:y val="-0.1149758279164931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8A-4956-9D59-F73AFB7A9BD4}"/>
                </c:ext>
              </c:extLst>
            </c:dLbl>
            <c:dLbl>
              <c:idx val="2"/>
              <c:layout>
                <c:manualLayout>
                  <c:x val="0.10010515910182628"/>
                  <c:y val="6.763283995087832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8A-4956-9D59-F73AFB7A9BD4}"/>
                </c:ext>
              </c:extLst>
            </c:dLbl>
            <c:dLbl>
              <c:idx val="3"/>
              <c:layout>
                <c:manualLayout>
                  <c:x val="0.11777077541391327"/>
                  <c:y val="4.73429879656148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8A-4956-9D59-F73AFB7A9BD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透视表!$A$15:$A$19</c:f>
              <c:strCache>
                <c:ptCount val="4"/>
                <c:pt idx="0">
                  <c:v>30-35</c:v>
                </c:pt>
                <c:pt idx="1">
                  <c:v>30以下</c:v>
                </c:pt>
                <c:pt idx="2">
                  <c:v>35-40</c:v>
                </c:pt>
                <c:pt idx="3">
                  <c:v>40以上</c:v>
                </c:pt>
              </c:strCache>
            </c:strRef>
          </c:cat>
          <c:val>
            <c:numRef>
              <c:f>透视表!$B$15:$B$19</c:f>
              <c:numCache>
                <c:formatCode>General</c:formatCode>
                <c:ptCount val="4"/>
                <c:pt idx="0">
                  <c:v>21</c:v>
                </c:pt>
                <c:pt idx="1">
                  <c:v>16</c:v>
                </c:pt>
                <c:pt idx="2">
                  <c:v>17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8A-4956-9D59-F73AFB7A9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[人力资源看板.xlsx]透视表!数据透视表4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0894439330303189E-2"/>
          <c:y val="0"/>
          <c:w val="0.83254388772222554"/>
          <c:h val="0.98282277992708234"/>
        </c:manualLayout>
      </c:layout>
      <c:doughnutChart>
        <c:varyColors val="1"/>
        <c:ser>
          <c:idx val="0"/>
          <c:order val="0"/>
          <c:tx>
            <c:strRef>
              <c:f>透视表!$B$37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8C-4355-B443-B8CCD934520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C-4355-B443-B8CCD934520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8C-4355-B443-B8CCD93452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透视表!$A$38:$A$41</c:f>
              <c:strCache>
                <c:ptCount val="3"/>
                <c:pt idx="0">
                  <c:v>本科</c:v>
                </c:pt>
                <c:pt idx="1">
                  <c:v>硕士</c:v>
                </c:pt>
                <c:pt idx="2">
                  <c:v>博士</c:v>
                </c:pt>
              </c:strCache>
            </c:strRef>
          </c:cat>
          <c:val>
            <c:numRef>
              <c:f>透视表!$B$38:$B$41</c:f>
              <c:numCache>
                <c:formatCode>General</c:formatCode>
                <c:ptCount val="3"/>
                <c:pt idx="0">
                  <c:v>35</c:v>
                </c:pt>
                <c:pt idx="1">
                  <c:v>22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8C-4355-B443-B8CCD934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[人力资源看板.xlsx]透视表!数据透视表3</c:name>
    <c:fmtId val="17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594202898550725"/>
              <c:y val="-7.466667236777264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71525733196394"/>
                  <c:h val="0.19709168768058699"/>
                </c:manualLayout>
              </c15:layout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434782608695652"/>
              <c:y val="-4.072727583696689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71525733196394"/>
                  <c:h val="0.1970916876805869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2001597626383659E-2"/>
          <c:y val="0"/>
          <c:w val="0.87604792879150972"/>
          <c:h val="1"/>
        </c:manualLayout>
      </c:layout>
      <c:doughnutChart>
        <c:varyColors val="1"/>
        <c:ser>
          <c:idx val="0"/>
          <c:order val="0"/>
          <c:tx>
            <c:strRef>
              <c:f>透视表!$B$32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7F-4C2B-BA82-D3A418597F1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F-4C2B-BA82-D3A418597F1B}"/>
              </c:ext>
            </c:extLst>
          </c:dPt>
          <c:dLbls>
            <c:dLbl>
              <c:idx val="0"/>
              <c:layout>
                <c:manualLayout>
                  <c:x val="-0.11594202898550725"/>
                  <c:y val="-7.46666723677726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1525733196394"/>
                      <c:h val="0.197091687680586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17F-4C2B-BA82-D3A418597F1B}"/>
                </c:ext>
              </c:extLst>
            </c:dLbl>
            <c:dLbl>
              <c:idx val="1"/>
              <c:layout>
                <c:manualLayout>
                  <c:x val="0.10434782608695652"/>
                  <c:y val="-4.072727583696689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1525733196394"/>
                      <c:h val="0.197091687680586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17F-4C2B-BA82-D3A418597F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透视表!$A$33:$A$35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透视表!$B$33:$B$35</c:f>
              <c:numCache>
                <c:formatCode>General</c:formatCode>
                <c:ptCount val="2"/>
                <c:pt idx="0">
                  <c:v>33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7F-4C2B-BA82-D3A418597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[人力资源看板.xlsx]透视表!数据透视表2</c:name>
    <c:fmtId val="17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7556442068216648E-2"/>
              <c:y val="4.9645393767457323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5717611698107924E-2"/>
          <c:y val="0"/>
          <c:w val="0.87410324259517957"/>
          <c:h val="1"/>
        </c:manualLayout>
      </c:layout>
      <c:pieChart>
        <c:varyColors val="1"/>
        <c:ser>
          <c:idx val="0"/>
          <c:order val="0"/>
          <c:tx>
            <c:strRef>
              <c:f>透视表!$B$24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3D-4977-889A-82EFD60C7C6A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3D-4977-889A-82EFD60C7C6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3D-4977-889A-82EFD60C7C6A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3D-4977-889A-82EFD60C7C6A}"/>
              </c:ext>
            </c:extLst>
          </c:dPt>
          <c:dLbls>
            <c:dLbl>
              <c:idx val="0"/>
              <c:layout>
                <c:manualLayout>
                  <c:x val="-9.7556442068216648E-2"/>
                  <c:y val="4.964539376745732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3D-4977-889A-82EFD60C7C6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透视表!$A$25:$A$29</c:f>
              <c:strCache>
                <c:ptCount val="4"/>
                <c:pt idx="0">
                  <c:v>10年以上</c:v>
                </c:pt>
                <c:pt idx="1">
                  <c:v>3-5年</c:v>
                </c:pt>
                <c:pt idx="2">
                  <c:v>3年以下</c:v>
                </c:pt>
                <c:pt idx="3">
                  <c:v>5-10年</c:v>
                </c:pt>
              </c:strCache>
            </c:strRef>
          </c:cat>
          <c:val>
            <c:numRef>
              <c:f>透视表!$B$25:$B$29</c:f>
              <c:numCache>
                <c:formatCode>General</c:formatCode>
                <c:ptCount val="4"/>
                <c:pt idx="0">
                  <c:v>6</c:v>
                </c:pt>
                <c:pt idx="1">
                  <c:v>13</c:v>
                </c:pt>
                <c:pt idx="2">
                  <c:v>4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3D-4977-889A-82EFD60C7C6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[人力资源看板.xlsx]透视表!数据透视表12</c:name>
    <c:fmtId val="2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透视表!$B$45</c:f>
              <c:strCache>
                <c:ptCount val="1"/>
                <c:pt idx="0">
                  <c:v>月薪合计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透视表!$A$46:$A$51</c:f>
              <c:strCache>
                <c:ptCount val="5"/>
                <c:pt idx="0">
                  <c:v>P4</c:v>
                </c:pt>
                <c:pt idx="1">
                  <c:v>P5</c:v>
                </c:pt>
                <c:pt idx="2">
                  <c:v>P6</c:v>
                </c:pt>
                <c:pt idx="3">
                  <c:v>P7</c:v>
                </c:pt>
                <c:pt idx="4">
                  <c:v>P8</c:v>
                </c:pt>
              </c:strCache>
            </c:strRef>
          </c:cat>
          <c:val>
            <c:numRef>
              <c:f>透视表!$B$46:$B$51</c:f>
              <c:numCache>
                <c:formatCode>"¥"#,##0_);\("¥"#,##0\)</c:formatCode>
                <c:ptCount val="5"/>
                <c:pt idx="0">
                  <c:v>179800</c:v>
                </c:pt>
                <c:pt idx="1">
                  <c:v>188700</c:v>
                </c:pt>
                <c:pt idx="2">
                  <c:v>207600</c:v>
                </c:pt>
                <c:pt idx="3">
                  <c:v>247500</c:v>
                </c:pt>
                <c:pt idx="4">
                  <c:v>186000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6-4301-8CAA-8172866F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3121951"/>
        <c:axId val="348155887"/>
      </c:barChart>
      <c:lineChart>
        <c:grouping val="standard"/>
        <c:varyColors val="0"/>
        <c:ser>
          <c:idx val="1"/>
          <c:order val="1"/>
          <c:tx>
            <c:strRef>
              <c:f>透视表!$C$45</c:f>
              <c:strCache>
                <c:ptCount val="1"/>
                <c:pt idx="0">
                  <c:v>平均月薪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透视表!$A$46:$A$51</c:f>
              <c:strCache>
                <c:ptCount val="5"/>
                <c:pt idx="0">
                  <c:v>P4</c:v>
                </c:pt>
                <c:pt idx="1">
                  <c:v>P5</c:v>
                </c:pt>
                <c:pt idx="2">
                  <c:v>P6</c:v>
                </c:pt>
                <c:pt idx="3">
                  <c:v>P7</c:v>
                </c:pt>
                <c:pt idx="4">
                  <c:v>P8</c:v>
                </c:pt>
              </c:strCache>
            </c:strRef>
          </c:cat>
          <c:val>
            <c:numRef>
              <c:f>透视表!$C$46:$C$51</c:f>
              <c:numCache>
                <c:formatCode>"¥"#,##0_);\("¥"#,##0\)</c:formatCode>
                <c:ptCount val="5"/>
                <c:pt idx="0">
                  <c:v>10576.470588235294</c:v>
                </c:pt>
                <c:pt idx="1">
                  <c:v>13478.571428571429</c:v>
                </c:pt>
                <c:pt idx="2">
                  <c:v>17300</c:v>
                </c:pt>
                <c:pt idx="3">
                  <c:v>22500</c:v>
                </c:pt>
                <c:pt idx="4">
                  <c:v>31000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E6-4301-8CAA-8172866F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165007"/>
        <c:axId val="348170287"/>
      </c:lineChart>
      <c:catAx>
        <c:axId val="14312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155887"/>
        <c:crosses val="autoZero"/>
        <c:auto val="1"/>
        <c:lblAlgn val="ctr"/>
        <c:lblOffset val="100"/>
        <c:noMultiLvlLbl val="0"/>
      </c:catAx>
      <c:valAx>
        <c:axId val="34815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_);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121951"/>
        <c:crosses val="autoZero"/>
        <c:crossBetween val="between"/>
      </c:valAx>
      <c:valAx>
        <c:axId val="348170287"/>
        <c:scaling>
          <c:orientation val="minMax"/>
        </c:scaling>
        <c:delete val="0"/>
        <c:axPos val="r"/>
        <c:numFmt formatCode="&quot;¥&quot;#,##0_);\(&quot;¥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165007"/>
        <c:crosses val="max"/>
        <c:crossBetween val="between"/>
      </c:valAx>
      <c:catAx>
        <c:axId val="348165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481702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[人力资源看板.xlsx]透视表!数据透视表6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透视表!$B$54:$B$55</c:f>
              <c:strCache>
                <c:ptCount val="1"/>
                <c:pt idx="0">
                  <c:v>不合格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透视表!$A$56:$A$59</c:f>
              <c:strCache>
                <c:ptCount val="3"/>
                <c:pt idx="0">
                  <c:v>技术部</c:v>
                </c:pt>
                <c:pt idx="1">
                  <c:v>项目管理部</c:v>
                </c:pt>
                <c:pt idx="2">
                  <c:v>销售部</c:v>
                </c:pt>
              </c:strCache>
            </c:strRef>
          </c:cat>
          <c:val>
            <c:numRef>
              <c:f>透视表!$B$56:$B$59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5-475E-9348-1817BD426832}"/>
            </c:ext>
          </c:extLst>
        </c:ser>
        <c:ser>
          <c:idx val="1"/>
          <c:order val="1"/>
          <c:tx>
            <c:strRef>
              <c:f>透视表!$C$54:$C$55</c:f>
              <c:strCache>
                <c:ptCount val="1"/>
                <c:pt idx="0">
                  <c:v>合格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透视表!$A$56:$A$59</c:f>
              <c:strCache>
                <c:ptCount val="3"/>
                <c:pt idx="0">
                  <c:v>技术部</c:v>
                </c:pt>
                <c:pt idx="1">
                  <c:v>项目管理部</c:v>
                </c:pt>
                <c:pt idx="2">
                  <c:v>销售部</c:v>
                </c:pt>
              </c:strCache>
            </c:strRef>
          </c:cat>
          <c:val>
            <c:numRef>
              <c:f>透视表!$C$56:$C$59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45-475E-9348-1817BD426832}"/>
            </c:ext>
          </c:extLst>
        </c:ser>
        <c:ser>
          <c:idx val="2"/>
          <c:order val="2"/>
          <c:tx>
            <c:strRef>
              <c:f>透视表!$D$54:$D$55</c:f>
              <c:strCache>
                <c:ptCount val="1"/>
                <c:pt idx="0">
                  <c:v>良好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透视表!$A$56:$A$59</c:f>
              <c:strCache>
                <c:ptCount val="3"/>
                <c:pt idx="0">
                  <c:v>技术部</c:v>
                </c:pt>
                <c:pt idx="1">
                  <c:v>项目管理部</c:v>
                </c:pt>
                <c:pt idx="2">
                  <c:v>销售部</c:v>
                </c:pt>
              </c:strCache>
            </c:strRef>
          </c:cat>
          <c:val>
            <c:numRef>
              <c:f>透视表!$D$56:$D$59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245-475E-9348-1817BD426832}"/>
            </c:ext>
          </c:extLst>
        </c:ser>
        <c:ser>
          <c:idx val="3"/>
          <c:order val="3"/>
          <c:tx>
            <c:strRef>
              <c:f>透视表!$E$54:$E$55</c:f>
              <c:strCache>
                <c:ptCount val="1"/>
                <c:pt idx="0">
                  <c:v>优秀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透视表!$A$56:$A$59</c:f>
              <c:strCache>
                <c:ptCount val="3"/>
                <c:pt idx="0">
                  <c:v>技术部</c:v>
                </c:pt>
                <c:pt idx="1">
                  <c:v>项目管理部</c:v>
                </c:pt>
                <c:pt idx="2">
                  <c:v>销售部</c:v>
                </c:pt>
              </c:strCache>
            </c:strRef>
          </c:cat>
          <c:val>
            <c:numRef>
              <c:f>透视表!$E$56:$E$59</c:f>
              <c:numCache>
                <c:formatCode>General</c:formatCode>
                <c:ptCount val="3"/>
                <c:pt idx="0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245-475E-9348-1817BD4268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66059151"/>
        <c:axId val="966055311"/>
      </c:barChart>
      <c:catAx>
        <c:axId val="966059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055311"/>
        <c:crosses val="autoZero"/>
        <c:auto val="1"/>
        <c:lblAlgn val="ctr"/>
        <c:lblOffset val="100"/>
        <c:noMultiLvlLbl val="0"/>
      </c:catAx>
      <c:valAx>
        <c:axId val="96605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05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20410</xdr:colOff>
      <xdr:row>15</xdr:row>
      <xdr:rowOff>97971</xdr:rowOff>
    </xdr:from>
    <xdr:to>
      <xdr:col>13</xdr:col>
      <xdr:colOff>106135</xdr:colOff>
      <xdr:row>18</xdr:row>
      <xdr:rowOff>69396</xdr:rowOff>
    </xdr:to>
    <xdr:sp macro="" textlink="透视表!A8">
      <xdr:nvSpPr>
        <xdr:cNvPr id="7" name="矩形: 圆角 6">
          <a:extLst>
            <a:ext uri="{FF2B5EF4-FFF2-40B4-BE49-F238E27FC236}">
              <a16:creationId xmlns:a16="http://schemas.microsoft.com/office/drawing/2014/main" id="{2A5CAC7B-2793-4791-8858-53BCB571109F}"/>
            </a:ext>
          </a:extLst>
        </xdr:cNvPr>
        <xdr:cNvSpPr/>
      </xdr:nvSpPr>
      <xdr:spPr>
        <a:xfrm>
          <a:off x="20410" y="2955471"/>
          <a:ext cx="2473779" cy="542925"/>
        </a:xfrm>
        <a:prstGeom prst="roundRect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44CAA23-0315-48F2-9202-EDED5820E375}" type="TxLink">
            <a:rPr lang="en-US" altLang="en-US" sz="2400" b="1" i="0" u="sng" strike="noStrike">
              <a:solidFill>
                <a:schemeClr val="bg1"/>
              </a:solidFill>
              <a:latin typeface="等线"/>
              <a:ea typeface="等线"/>
            </a:rPr>
            <a:t> ¥16,961,280 </a:t>
          </a:fld>
          <a:endParaRPr lang="zh-CN" altLang="en-US" sz="5400" b="1" i="0" u="sng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0</xdr:col>
      <xdr:colOff>55790</xdr:colOff>
      <xdr:row>9</xdr:row>
      <xdr:rowOff>63500</xdr:rowOff>
    </xdr:from>
    <xdr:to>
      <xdr:col>6</xdr:col>
      <xdr:colOff>100240</xdr:colOff>
      <xdr:row>12</xdr:row>
      <xdr:rowOff>88900</xdr:rowOff>
    </xdr:to>
    <xdr:sp macro="" textlink="透视表!B30">
      <xdr:nvSpPr>
        <xdr:cNvPr id="8" name="矩形: 圆角 7">
          <a:extLst>
            <a:ext uri="{FF2B5EF4-FFF2-40B4-BE49-F238E27FC236}">
              <a16:creationId xmlns:a16="http://schemas.microsoft.com/office/drawing/2014/main" id="{BFEBC2F3-58FB-48AB-B95C-8A3DDAA9BD82}"/>
            </a:ext>
          </a:extLst>
        </xdr:cNvPr>
        <xdr:cNvSpPr/>
      </xdr:nvSpPr>
      <xdr:spPr>
        <a:xfrm>
          <a:off x="55790" y="1778000"/>
          <a:ext cx="1146629" cy="59690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188B21A9-FB3E-462E-89A1-A25F55EB1A93}" type="TxLink">
            <a:rPr lang="en-US" altLang="en-US" sz="3600" b="1" i="0" u="none" strike="noStrike">
              <a:solidFill>
                <a:schemeClr val="bg1"/>
              </a:solidFill>
              <a:latin typeface="等线"/>
              <a:ea typeface="等线"/>
              <a:cs typeface="+mn-cs"/>
            </a:rPr>
            <a:t>60</a:t>
          </a:fld>
          <a:endParaRPr lang="zh-CN" altLang="en-US" sz="7200" b="1" i="0" u="none" strike="noStrike">
            <a:solidFill>
              <a:schemeClr val="bg1"/>
            </a:solidFill>
            <a:latin typeface="+mn-lt"/>
            <a:ea typeface="等线"/>
            <a:cs typeface="+mn-cs"/>
          </a:endParaRPr>
        </a:p>
      </xdr:txBody>
    </xdr:sp>
    <xdr:clientData/>
  </xdr:twoCellAnchor>
  <xdr:twoCellAnchor>
    <xdr:from>
      <xdr:col>7</xdr:col>
      <xdr:colOff>68491</xdr:colOff>
      <xdr:row>9</xdr:row>
      <xdr:rowOff>56696</xdr:rowOff>
    </xdr:from>
    <xdr:to>
      <xdr:col>13</xdr:col>
      <xdr:colOff>112941</xdr:colOff>
      <xdr:row>12</xdr:row>
      <xdr:rowOff>88446</xdr:rowOff>
    </xdr:to>
    <xdr:sp macro="" textlink="透视表!A12">
      <xdr:nvSpPr>
        <xdr:cNvPr id="9" name="矩形: 圆角 8">
          <a:extLst>
            <a:ext uri="{FF2B5EF4-FFF2-40B4-BE49-F238E27FC236}">
              <a16:creationId xmlns:a16="http://schemas.microsoft.com/office/drawing/2014/main" id="{345F96A4-EC49-4EDD-BD8B-927DA2647D04}"/>
            </a:ext>
          </a:extLst>
        </xdr:cNvPr>
        <xdr:cNvSpPr/>
      </xdr:nvSpPr>
      <xdr:spPr>
        <a:xfrm>
          <a:off x="1354367" y="1771196"/>
          <a:ext cx="1146628" cy="6032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9A1D522-4716-4A7E-8B79-22C5BEC96DA4}" type="TxLink">
            <a:rPr lang="en-US" altLang="en-US" sz="1800" b="1" i="0" u="none" strike="noStrike">
              <a:solidFill>
                <a:schemeClr val="bg1"/>
              </a:solidFill>
              <a:latin typeface="等线"/>
              <a:ea typeface="等线"/>
            </a:rPr>
            <a:t> ¥16,827 </a:t>
          </a:fld>
          <a:endParaRPr lang="zh-CN" altLang="en-US" sz="44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0</xdr:colOff>
      <xdr:row>9</xdr:row>
      <xdr:rowOff>0</xdr:rowOff>
    </xdr:from>
    <xdr:to>
      <xdr:col>25</xdr:col>
      <xdr:colOff>136071</xdr:colOff>
      <xdr:row>18</xdr:row>
      <xdr:rowOff>163286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4A2AC2DB-D02A-45EB-A456-8976543E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163286</xdr:colOff>
      <xdr:row>9</xdr:row>
      <xdr:rowOff>0</xdr:rowOff>
    </xdr:from>
    <xdr:to>
      <xdr:col>38</xdr:col>
      <xdr:colOff>1</xdr:colOff>
      <xdr:row>18</xdr:row>
      <xdr:rowOff>170089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BC223ED8-DED9-4E2D-88F9-1D30CE81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</xdr:colOff>
      <xdr:row>9</xdr:row>
      <xdr:rowOff>0</xdr:rowOff>
    </xdr:from>
    <xdr:to>
      <xdr:col>49</xdr:col>
      <xdr:colOff>170089</xdr:colOff>
      <xdr:row>18</xdr:row>
      <xdr:rowOff>156482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BA86CBB3-8666-4471-8050-45A8B030B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1</xdr:colOff>
      <xdr:row>9</xdr:row>
      <xdr:rowOff>0</xdr:rowOff>
    </xdr:from>
    <xdr:to>
      <xdr:col>61</xdr:col>
      <xdr:colOff>142875</xdr:colOff>
      <xdr:row>18</xdr:row>
      <xdr:rowOff>170089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3431AE95-E92C-4BB3-B81E-92F7636FC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</xdr:row>
      <xdr:rowOff>20411</xdr:rowOff>
    </xdr:from>
    <xdr:to>
      <xdr:col>31</xdr:col>
      <xdr:colOff>6802</xdr:colOff>
      <xdr:row>36</xdr:row>
      <xdr:rowOff>156482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80DF3C4-8BE3-49C3-B898-7B74F687C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34017</xdr:colOff>
      <xdr:row>20</xdr:row>
      <xdr:rowOff>183696</xdr:rowOff>
    </xdr:from>
    <xdr:to>
      <xdr:col>61</xdr:col>
      <xdr:colOff>149678</xdr:colOff>
      <xdr:row>36</xdr:row>
      <xdr:rowOff>183695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DCF4C8F-279E-4664-8B2C-C4851C3EC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36740</xdr:colOff>
      <xdr:row>2</xdr:row>
      <xdr:rowOff>47624</xdr:rowOff>
    </xdr:from>
    <xdr:to>
      <xdr:col>61</xdr:col>
      <xdr:colOff>171257</xdr:colOff>
      <xdr:row>4</xdr:row>
      <xdr:rowOff>98624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部门">
              <a:extLst>
                <a:ext uri="{FF2B5EF4-FFF2-40B4-BE49-F238E27FC236}">
                  <a16:creationId xmlns:a16="http://schemas.microsoft.com/office/drawing/2014/main" id="{5F0B8933-AA7D-4798-8B84-0BBD07BB4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部门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40" y="428624"/>
              <a:ext cx="11413238" cy="43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34021</xdr:colOff>
      <xdr:row>4</xdr:row>
      <xdr:rowOff>102736</xdr:rowOff>
    </xdr:from>
    <xdr:to>
      <xdr:col>61</xdr:col>
      <xdr:colOff>168538</xdr:colOff>
      <xdr:row>6</xdr:row>
      <xdr:rowOff>153736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岗级">
              <a:extLst>
                <a:ext uri="{FF2B5EF4-FFF2-40B4-BE49-F238E27FC236}">
                  <a16:creationId xmlns:a16="http://schemas.microsoft.com/office/drawing/2014/main" id="{925BE0DA-0C70-4E35-AC96-0D5E0DF572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岗级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21" y="864736"/>
              <a:ext cx="11413238" cy="43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 s" refreshedDate="45968.47958298611" createdVersion="8" refreshedVersion="8" minRefreshableVersion="3" recordCount="60" xr:uid="{2F18D382-5B96-4C82-8B25-655952B0D9ED}">
  <cacheSource type="worksheet">
    <worksheetSource name="表1_"/>
  </cacheSource>
  <cacheFields count="12">
    <cacheField name="部门" numFmtId="0">
      <sharedItems count="3">
        <s v="技术部"/>
        <s v="项目管理部"/>
        <s v="销售部"/>
      </sharedItems>
    </cacheField>
    <cacheField name="员工ID" numFmtId="0">
      <sharedItems/>
    </cacheField>
    <cacheField name="司龄(年)" numFmtId="0">
      <sharedItems containsSemiMixedTypes="0" containsString="0" containsNumber="1" containsInteger="1" minValue="3" maxValue="11"/>
    </cacheField>
    <cacheField name="年龄" numFmtId="0">
      <sharedItems containsSemiMixedTypes="0" containsString="0" containsNumber="1" containsInteger="1" minValue="26" maxValue="42" count="16">
        <n v="28"/>
        <n v="30"/>
        <n v="36"/>
        <n v="31"/>
        <n v="34"/>
        <n v="40"/>
        <n v="35"/>
        <n v="42"/>
        <n v="38"/>
        <n v="29"/>
        <n v="41"/>
        <n v="32"/>
        <n v="27"/>
        <n v="37"/>
        <n v="26"/>
        <n v="33"/>
      </sharedItems>
    </cacheField>
    <cacheField name="性别" numFmtId="0">
      <sharedItems count="2">
        <s v="男"/>
        <s v="女"/>
      </sharedItems>
    </cacheField>
    <cacheField name="学历" numFmtId="0">
      <sharedItems count="3">
        <s v="本科"/>
        <s v="硕士"/>
        <s v="博士"/>
      </sharedItems>
    </cacheField>
    <cacheField name="岗级" numFmtId="0">
      <sharedItems count="5">
        <s v="P4"/>
        <s v="P6"/>
        <s v="P5"/>
        <s v="P7"/>
        <s v="P8"/>
      </sharedItems>
    </cacheField>
    <cacheField name="月薪(元)" numFmtId="0">
      <sharedItems containsSemiMixedTypes="0" containsString="0" containsNumber="1" containsInteger="1" minValue="9800" maxValue="32000" count="47">
        <n v="11000"/>
        <n v="11500"/>
        <n v="16000"/>
        <n v="12500"/>
        <n v="11200"/>
        <n v="13500"/>
        <n v="23000"/>
        <n v="16500"/>
        <n v="31000"/>
        <n v="17500"/>
        <n v="24000"/>
        <n v="10900"/>
        <n v="12800"/>
        <n v="16800"/>
        <n v="30500"/>
        <n v="10700"/>
        <n v="23500"/>
        <n v="17000"/>
        <n v="22500"/>
        <n v="18000"/>
        <n v="11100"/>
        <n v="31500"/>
        <n v="14500"/>
        <n v="17200"/>
        <n v="10000"/>
        <n v="21000"/>
        <n v="22000"/>
        <n v="9800"/>
        <n v="9900"/>
        <n v="10200"/>
        <n v="10100"/>
        <n v="18500"/>
        <n v="13000"/>
        <n v="30000"/>
        <n v="10800"/>
        <n v="10500"/>
        <n v="21500"/>
        <n v="14000"/>
        <n v="32000"/>
        <n v="10600"/>
        <n v="13200"/>
        <n v="13800"/>
        <n v="13300"/>
        <n v="13700"/>
        <n v="17600"/>
        <n v="13900"/>
        <n v="14200"/>
      </sharedItems>
    </cacheField>
    <cacheField name="绩效总评" numFmtId="0">
      <sharedItems count="4">
        <s v="合格"/>
        <s v="良好"/>
        <s v="优秀"/>
        <s v="不合格"/>
      </sharedItems>
    </cacheField>
    <cacheField name="司龄分布" numFmtId="0">
      <sharedItems count="4">
        <s v="3-5年"/>
        <s v="5-10年"/>
        <s v="3年以下"/>
        <s v="10年以上"/>
      </sharedItems>
    </cacheField>
    <cacheField name="年龄分布" numFmtId="0">
      <sharedItems count="4">
        <s v="30以下"/>
        <s v="30-35"/>
        <s v="35-40"/>
        <s v="40以上"/>
      </sharedItems>
    </cacheField>
    <cacheField name="年薪" numFmtId="0">
      <sharedItems containsSemiMixedTypes="0" containsString="0" containsNumber="1" containsInteger="1" minValue="137200" maxValue="448000"/>
    </cacheField>
  </cacheFields>
  <extLst>
    <ext xmlns:x14="http://schemas.microsoft.com/office/spreadsheetml/2009/9/main" uri="{725AE2AE-9491-48be-B2B4-4EB974FC3084}">
      <x14:pivotCacheDefinition pivotCacheId="5465711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E001"/>
    <n v="5"/>
    <x v="0"/>
    <x v="0"/>
    <x v="0"/>
    <x v="0"/>
    <x v="0"/>
    <x v="0"/>
    <x v="0"/>
    <x v="0"/>
    <n v="154000"/>
  </r>
  <r>
    <x v="0"/>
    <s v="E002"/>
    <n v="6"/>
    <x v="1"/>
    <x v="0"/>
    <x v="1"/>
    <x v="0"/>
    <x v="1"/>
    <x v="1"/>
    <x v="1"/>
    <x v="1"/>
    <n v="161000"/>
  </r>
  <r>
    <x v="0"/>
    <s v="E005"/>
    <n v="8"/>
    <x v="2"/>
    <x v="0"/>
    <x v="1"/>
    <x v="1"/>
    <x v="2"/>
    <x v="2"/>
    <x v="1"/>
    <x v="2"/>
    <n v="224000"/>
  </r>
  <r>
    <x v="0"/>
    <s v="E008"/>
    <n v="3"/>
    <x v="0"/>
    <x v="0"/>
    <x v="0"/>
    <x v="2"/>
    <x v="3"/>
    <x v="0"/>
    <x v="2"/>
    <x v="0"/>
    <n v="175000"/>
  </r>
  <r>
    <x v="0"/>
    <s v="E011"/>
    <n v="6"/>
    <x v="3"/>
    <x v="0"/>
    <x v="0"/>
    <x v="0"/>
    <x v="4"/>
    <x v="0"/>
    <x v="1"/>
    <x v="1"/>
    <n v="156800"/>
  </r>
  <r>
    <x v="0"/>
    <s v="E012"/>
    <n v="7"/>
    <x v="4"/>
    <x v="1"/>
    <x v="1"/>
    <x v="2"/>
    <x v="5"/>
    <x v="1"/>
    <x v="1"/>
    <x v="1"/>
    <n v="189000"/>
  </r>
  <r>
    <x v="0"/>
    <s v="E015"/>
    <n v="10"/>
    <x v="5"/>
    <x v="0"/>
    <x v="1"/>
    <x v="3"/>
    <x v="6"/>
    <x v="2"/>
    <x v="1"/>
    <x v="2"/>
    <n v="322000"/>
  </r>
  <r>
    <x v="0"/>
    <s v="E017"/>
    <n v="8"/>
    <x v="6"/>
    <x v="0"/>
    <x v="0"/>
    <x v="1"/>
    <x v="7"/>
    <x v="1"/>
    <x v="1"/>
    <x v="1"/>
    <n v="231000"/>
  </r>
  <r>
    <x v="0"/>
    <s v="E020"/>
    <n v="11"/>
    <x v="7"/>
    <x v="0"/>
    <x v="2"/>
    <x v="4"/>
    <x v="8"/>
    <x v="2"/>
    <x v="3"/>
    <x v="3"/>
    <n v="434000"/>
  </r>
  <r>
    <x v="0"/>
    <s v="E022"/>
    <n v="7"/>
    <x v="4"/>
    <x v="0"/>
    <x v="1"/>
    <x v="1"/>
    <x v="9"/>
    <x v="1"/>
    <x v="1"/>
    <x v="1"/>
    <n v="245000"/>
  </r>
  <r>
    <x v="0"/>
    <s v="E025"/>
    <n v="9"/>
    <x v="8"/>
    <x v="0"/>
    <x v="1"/>
    <x v="3"/>
    <x v="10"/>
    <x v="0"/>
    <x v="1"/>
    <x v="2"/>
    <n v="336000"/>
  </r>
  <r>
    <x v="0"/>
    <s v="E027"/>
    <n v="5"/>
    <x v="9"/>
    <x v="1"/>
    <x v="0"/>
    <x v="0"/>
    <x v="11"/>
    <x v="0"/>
    <x v="0"/>
    <x v="0"/>
    <n v="152600"/>
  </r>
  <r>
    <x v="0"/>
    <s v="E030"/>
    <n v="6"/>
    <x v="3"/>
    <x v="0"/>
    <x v="0"/>
    <x v="2"/>
    <x v="12"/>
    <x v="1"/>
    <x v="1"/>
    <x v="1"/>
    <n v="179200"/>
  </r>
  <r>
    <x v="0"/>
    <s v="E032"/>
    <n v="8"/>
    <x v="6"/>
    <x v="0"/>
    <x v="1"/>
    <x v="1"/>
    <x v="13"/>
    <x v="0"/>
    <x v="1"/>
    <x v="1"/>
    <n v="235200"/>
  </r>
  <r>
    <x v="0"/>
    <s v="E035"/>
    <n v="11"/>
    <x v="7"/>
    <x v="0"/>
    <x v="2"/>
    <x v="4"/>
    <x v="14"/>
    <x v="2"/>
    <x v="3"/>
    <x v="3"/>
    <n v="427000"/>
  </r>
  <r>
    <x v="0"/>
    <s v="E037"/>
    <n v="4"/>
    <x v="0"/>
    <x v="0"/>
    <x v="0"/>
    <x v="0"/>
    <x v="15"/>
    <x v="0"/>
    <x v="0"/>
    <x v="0"/>
    <n v="149800"/>
  </r>
  <r>
    <x v="0"/>
    <s v="E040"/>
    <n v="9"/>
    <x v="8"/>
    <x v="1"/>
    <x v="1"/>
    <x v="3"/>
    <x v="16"/>
    <x v="1"/>
    <x v="1"/>
    <x v="2"/>
    <n v="329000"/>
  </r>
  <r>
    <x v="0"/>
    <s v="E042"/>
    <n v="6"/>
    <x v="3"/>
    <x v="1"/>
    <x v="0"/>
    <x v="2"/>
    <x v="12"/>
    <x v="1"/>
    <x v="1"/>
    <x v="1"/>
    <n v="179200"/>
  </r>
  <r>
    <x v="0"/>
    <s v="E045"/>
    <n v="8"/>
    <x v="6"/>
    <x v="1"/>
    <x v="1"/>
    <x v="1"/>
    <x v="17"/>
    <x v="1"/>
    <x v="1"/>
    <x v="1"/>
    <n v="238000"/>
  </r>
  <r>
    <x v="0"/>
    <s v="E047"/>
    <n v="10"/>
    <x v="5"/>
    <x v="1"/>
    <x v="1"/>
    <x v="3"/>
    <x v="18"/>
    <x v="2"/>
    <x v="1"/>
    <x v="2"/>
    <n v="315000"/>
  </r>
  <r>
    <x v="0"/>
    <s v="E049"/>
    <n v="7"/>
    <x v="4"/>
    <x v="0"/>
    <x v="1"/>
    <x v="1"/>
    <x v="19"/>
    <x v="1"/>
    <x v="1"/>
    <x v="1"/>
    <n v="252000"/>
  </r>
  <r>
    <x v="0"/>
    <s v="E051"/>
    <n v="5"/>
    <x v="9"/>
    <x v="1"/>
    <x v="0"/>
    <x v="0"/>
    <x v="20"/>
    <x v="0"/>
    <x v="0"/>
    <x v="0"/>
    <n v="155400"/>
  </r>
  <r>
    <x v="0"/>
    <s v="E053"/>
    <n v="9"/>
    <x v="8"/>
    <x v="1"/>
    <x v="1"/>
    <x v="3"/>
    <x v="16"/>
    <x v="0"/>
    <x v="1"/>
    <x v="2"/>
    <n v="329000"/>
  </r>
  <r>
    <x v="0"/>
    <s v="E055"/>
    <n v="11"/>
    <x v="10"/>
    <x v="1"/>
    <x v="2"/>
    <x v="4"/>
    <x v="21"/>
    <x v="0"/>
    <x v="3"/>
    <x v="3"/>
    <n v="441000"/>
  </r>
  <r>
    <x v="0"/>
    <s v="E057"/>
    <n v="6"/>
    <x v="11"/>
    <x v="1"/>
    <x v="1"/>
    <x v="2"/>
    <x v="22"/>
    <x v="1"/>
    <x v="1"/>
    <x v="1"/>
    <n v="203000"/>
  </r>
  <r>
    <x v="0"/>
    <s v="E059"/>
    <n v="8"/>
    <x v="6"/>
    <x v="1"/>
    <x v="1"/>
    <x v="1"/>
    <x v="23"/>
    <x v="0"/>
    <x v="1"/>
    <x v="1"/>
    <n v="240800"/>
  </r>
  <r>
    <x v="1"/>
    <s v="E004"/>
    <n v="4"/>
    <x v="12"/>
    <x v="1"/>
    <x v="0"/>
    <x v="0"/>
    <x v="24"/>
    <x v="0"/>
    <x v="0"/>
    <x v="0"/>
    <n v="140000"/>
  </r>
  <r>
    <x v="1"/>
    <s v="E007"/>
    <n v="10"/>
    <x v="5"/>
    <x v="1"/>
    <x v="0"/>
    <x v="3"/>
    <x v="25"/>
    <x v="1"/>
    <x v="1"/>
    <x v="2"/>
    <n v="294000"/>
  </r>
  <r>
    <x v="1"/>
    <s v="E010"/>
    <n v="4"/>
    <x v="9"/>
    <x v="1"/>
    <x v="0"/>
    <x v="2"/>
    <x v="5"/>
    <x v="0"/>
    <x v="0"/>
    <x v="0"/>
    <n v="189000"/>
  </r>
  <r>
    <x v="1"/>
    <s v="E014"/>
    <n v="9"/>
    <x v="13"/>
    <x v="1"/>
    <x v="1"/>
    <x v="3"/>
    <x v="26"/>
    <x v="0"/>
    <x v="1"/>
    <x v="2"/>
    <n v="308000"/>
  </r>
  <r>
    <x v="1"/>
    <s v="E019"/>
    <n v="3"/>
    <x v="14"/>
    <x v="1"/>
    <x v="0"/>
    <x v="0"/>
    <x v="27"/>
    <x v="0"/>
    <x v="2"/>
    <x v="0"/>
    <n v="137200"/>
  </r>
  <r>
    <x v="1"/>
    <s v="E024"/>
    <n v="8"/>
    <x v="2"/>
    <x v="0"/>
    <x v="1"/>
    <x v="1"/>
    <x v="19"/>
    <x v="1"/>
    <x v="1"/>
    <x v="2"/>
    <n v="252000"/>
  </r>
  <r>
    <x v="1"/>
    <s v="E029"/>
    <n v="3"/>
    <x v="14"/>
    <x v="1"/>
    <x v="0"/>
    <x v="0"/>
    <x v="28"/>
    <x v="0"/>
    <x v="2"/>
    <x v="0"/>
    <n v="138600"/>
  </r>
  <r>
    <x v="1"/>
    <s v="E034"/>
    <n v="10"/>
    <x v="5"/>
    <x v="0"/>
    <x v="1"/>
    <x v="3"/>
    <x v="18"/>
    <x v="0"/>
    <x v="1"/>
    <x v="2"/>
    <n v="315000"/>
  </r>
  <r>
    <x v="1"/>
    <s v="E039"/>
    <n v="5"/>
    <x v="1"/>
    <x v="0"/>
    <x v="0"/>
    <x v="0"/>
    <x v="29"/>
    <x v="0"/>
    <x v="0"/>
    <x v="1"/>
    <n v="142800"/>
  </r>
  <r>
    <x v="1"/>
    <s v="E043"/>
    <n v="4"/>
    <x v="0"/>
    <x v="1"/>
    <x v="0"/>
    <x v="0"/>
    <x v="30"/>
    <x v="0"/>
    <x v="0"/>
    <x v="0"/>
    <n v="141400"/>
  </r>
  <r>
    <x v="1"/>
    <s v="E050"/>
    <n v="8"/>
    <x v="2"/>
    <x v="1"/>
    <x v="0"/>
    <x v="1"/>
    <x v="31"/>
    <x v="0"/>
    <x v="1"/>
    <x v="2"/>
    <n v="259000"/>
  </r>
  <r>
    <x v="1"/>
    <s v="E060"/>
    <n v="3"/>
    <x v="14"/>
    <x v="0"/>
    <x v="0"/>
    <x v="0"/>
    <x v="28"/>
    <x v="3"/>
    <x v="2"/>
    <x v="0"/>
    <n v="138600"/>
  </r>
  <r>
    <x v="2"/>
    <s v="E003"/>
    <n v="7"/>
    <x v="15"/>
    <x v="0"/>
    <x v="0"/>
    <x v="2"/>
    <x v="32"/>
    <x v="0"/>
    <x v="1"/>
    <x v="1"/>
    <n v="182000"/>
  </r>
  <r>
    <x v="2"/>
    <s v="E006"/>
    <n v="9"/>
    <x v="8"/>
    <x v="0"/>
    <x v="1"/>
    <x v="3"/>
    <x v="26"/>
    <x v="0"/>
    <x v="1"/>
    <x v="2"/>
    <n v="308000"/>
  </r>
  <r>
    <x v="2"/>
    <s v="E009"/>
    <n v="11"/>
    <x v="10"/>
    <x v="0"/>
    <x v="1"/>
    <x v="4"/>
    <x v="33"/>
    <x v="2"/>
    <x v="3"/>
    <x v="3"/>
    <n v="420000"/>
  </r>
  <r>
    <x v="2"/>
    <s v="E013"/>
    <n v="8"/>
    <x v="2"/>
    <x v="0"/>
    <x v="0"/>
    <x v="1"/>
    <x v="17"/>
    <x v="0"/>
    <x v="1"/>
    <x v="2"/>
    <n v="238000"/>
  </r>
  <r>
    <x v="2"/>
    <s v="E016"/>
    <n v="5"/>
    <x v="9"/>
    <x v="1"/>
    <x v="0"/>
    <x v="0"/>
    <x v="34"/>
    <x v="0"/>
    <x v="0"/>
    <x v="0"/>
    <n v="151200"/>
  </r>
  <r>
    <x v="2"/>
    <s v="E018"/>
    <n v="4"/>
    <x v="0"/>
    <x v="1"/>
    <x v="0"/>
    <x v="0"/>
    <x v="35"/>
    <x v="0"/>
    <x v="0"/>
    <x v="0"/>
    <n v="147000"/>
  </r>
  <r>
    <x v="2"/>
    <s v="E021"/>
    <n v="10"/>
    <x v="5"/>
    <x v="1"/>
    <x v="0"/>
    <x v="3"/>
    <x v="36"/>
    <x v="0"/>
    <x v="1"/>
    <x v="2"/>
    <n v="301000"/>
  </r>
  <r>
    <x v="2"/>
    <s v="E023"/>
    <n v="6"/>
    <x v="11"/>
    <x v="1"/>
    <x v="0"/>
    <x v="2"/>
    <x v="37"/>
    <x v="0"/>
    <x v="1"/>
    <x v="1"/>
    <n v="196000"/>
  </r>
  <r>
    <x v="2"/>
    <s v="E026"/>
    <n v="11"/>
    <x v="7"/>
    <x v="0"/>
    <x v="1"/>
    <x v="4"/>
    <x v="38"/>
    <x v="2"/>
    <x v="3"/>
    <x v="3"/>
    <n v="448000"/>
  </r>
  <r>
    <x v="2"/>
    <s v="E028"/>
    <n v="4"/>
    <x v="0"/>
    <x v="0"/>
    <x v="0"/>
    <x v="0"/>
    <x v="39"/>
    <x v="0"/>
    <x v="0"/>
    <x v="0"/>
    <n v="148400"/>
  </r>
  <r>
    <x v="2"/>
    <s v="E031"/>
    <n v="7"/>
    <x v="15"/>
    <x v="1"/>
    <x v="0"/>
    <x v="2"/>
    <x v="40"/>
    <x v="0"/>
    <x v="1"/>
    <x v="1"/>
    <n v="184800"/>
  </r>
  <r>
    <x v="2"/>
    <s v="E033"/>
    <n v="9"/>
    <x v="13"/>
    <x v="1"/>
    <x v="0"/>
    <x v="1"/>
    <x v="9"/>
    <x v="1"/>
    <x v="1"/>
    <x v="2"/>
    <n v="245000"/>
  </r>
  <r>
    <x v="2"/>
    <s v="E036"/>
    <n v="6"/>
    <x v="3"/>
    <x v="1"/>
    <x v="0"/>
    <x v="2"/>
    <x v="41"/>
    <x v="0"/>
    <x v="1"/>
    <x v="1"/>
    <n v="193200"/>
  </r>
  <r>
    <x v="2"/>
    <s v="E038"/>
    <n v="7"/>
    <x v="4"/>
    <x v="1"/>
    <x v="0"/>
    <x v="2"/>
    <x v="42"/>
    <x v="1"/>
    <x v="1"/>
    <x v="1"/>
    <n v="186200"/>
  </r>
  <r>
    <x v="2"/>
    <s v="E041"/>
    <n v="5"/>
    <x v="9"/>
    <x v="0"/>
    <x v="0"/>
    <x v="0"/>
    <x v="11"/>
    <x v="0"/>
    <x v="0"/>
    <x v="0"/>
    <n v="152600"/>
  </r>
  <r>
    <x v="2"/>
    <s v="E044"/>
    <n v="7"/>
    <x v="4"/>
    <x v="0"/>
    <x v="0"/>
    <x v="2"/>
    <x v="43"/>
    <x v="0"/>
    <x v="1"/>
    <x v="1"/>
    <n v="191800"/>
  </r>
  <r>
    <x v="2"/>
    <s v="E046"/>
    <n v="9"/>
    <x v="13"/>
    <x v="0"/>
    <x v="0"/>
    <x v="1"/>
    <x v="44"/>
    <x v="0"/>
    <x v="1"/>
    <x v="2"/>
    <n v="246400"/>
  </r>
  <r>
    <x v="2"/>
    <s v="E048"/>
    <n v="11"/>
    <x v="10"/>
    <x v="0"/>
    <x v="1"/>
    <x v="4"/>
    <x v="8"/>
    <x v="0"/>
    <x v="3"/>
    <x v="3"/>
    <n v="434000"/>
  </r>
  <r>
    <x v="2"/>
    <s v="E052"/>
    <n v="6"/>
    <x v="11"/>
    <x v="0"/>
    <x v="0"/>
    <x v="2"/>
    <x v="45"/>
    <x v="1"/>
    <x v="1"/>
    <x v="1"/>
    <n v="194600"/>
  </r>
  <r>
    <x v="2"/>
    <s v="E054"/>
    <n v="10"/>
    <x v="5"/>
    <x v="0"/>
    <x v="1"/>
    <x v="3"/>
    <x v="26"/>
    <x v="2"/>
    <x v="1"/>
    <x v="2"/>
    <n v="308000"/>
  </r>
  <r>
    <x v="2"/>
    <s v="E056"/>
    <n v="4"/>
    <x v="0"/>
    <x v="0"/>
    <x v="0"/>
    <x v="0"/>
    <x v="15"/>
    <x v="0"/>
    <x v="0"/>
    <x v="0"/>
    <n v="149800"/>
  </r>
  <r>
    <x v="2"/>
    <s v="E058"/>
    <n v="7"/>
    <x v="4"/>
    <x v="0"/>
    <x v="0"/>
    <x v="2"/>
    <x v="46"/>
    <x v="0"/>
    <x v="1"/>
    <x v="1"/>
    <n v="198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EA31F-AC37-4247-AD8A-1CBC198602D6}" name="数据透视表12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4">
  <location ref="A45:C51" firstHeaderRow="0" firstDataRow="1" firstDataCol="1"/>
  <pivotFields count="12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月薪合计" fld="7" baseField="0" baseItem="0" numFmtId="5"/>
    <dataField name="平均月薪" fld="7" subtotal="average" baseField="6" baseItem="0" numFmtId="5"/>
  </dataFields>
  <chartFormats count="2"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4532D-FA55-45E2-BEBA-7E1BEFB38F11}" name="数据透视表11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4">
  <location ref="A14:B19" firstHeaderRow="1" firstDataRow="1" firstDataCol="1"/>
  <pivotFields count="12">
    <pivotField showAll="0" defaultSubtotal="0">
      <items count="3">
        <item x="0"/>
        <item x="1"/>
        <item x="2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5">
        <item x="0"/>
        <item x="2"/>
        <item x="1"/>
        <item x="3"/>
        <item x="4"/>
      </items>
    </pivotField>
    <pivotField showAll="0" defaultSubtotal="0"/>
    <pivotField showAll="0" defaultSubtotal="0"/>
    <pivotField showAll="0" defaultSubtotal="0">
      <items count="4">
        <item x="3"/>
        <item x="0"/>
        <item x="2"/>
        <item x="1"/>
      </items>
    </pivotField>
    <pivotField axis="axisRow" showAll="0" defaultSubtotal="0">
      <items count="4">
        <item x="1"/>
        <item x="0"/>
        <item x="2"/>
        <item x="3"/>
      </items>
    </pivotField>
    <pivotField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员工ID" fld="1" subtotal="count" baseField="0" baseItem="0"/>
  </dataFields>
  <chartFormats count="5"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1A3B3-1D59-4436-8BBC-D722C9AEAE21}" name="数据透视表10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4">
  <location ref="A2:A3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>
      <items count="48">
        <item x="27"/>
        <item x="28"/>
        <item x="24"/>
        <item x="30"/>
        <item x="29"/>
        <item x="35"/>
        <item x="39"/>
        <item x="15"/>
        <item x="34"/>
        <item x="11"/>
        <item x="0"/>
        <item x="20"/>
        <item x="4"/>
        <item x="1"/>
        <item x="3"/>
        <item x="12"/>
        <item x="32"/>
        <item x="40"/>
        <item x="42"/>
        <item x="5"/>
        <item x="43"/>
        <item x="41"/>
        <item x="45"/>
        <item x="37"/>
        <item x="46"/>
        <item x="22"/>
        <item x="2"/>
        <item x="7"/>
        <item x="13"/>
        <item x="17"/>
        <item x="23"/>
        <item x="9"/>
        <item x="44"/>
        <item x="19"/>
        <item x="31"/>
        <item x="25"/>
        <item x="36"/>
        <item x="26"/>
        <item x="18"/>
        <item x="6"/>
        <item x="16"/>
        <item x="10"/>
        <item x="33"/>
        <item x="14"/>
        <item x="8"/>
        <item x="21"/>
        <item x="38"/>
        <item t="default"/>
      </items>
    </pivotField>
    <pivotField showAll="0"/>
    <pivotField showAll="0"/>
    <pivotField showAll="0"/>
    <pivotField showAll="0"/>
  </pivotFields>
  <rowItems count="1">
    <i/>
  </rowItems>
  <colItems count="1">
    <i/>
  </colItems>
  <dataFields count="1">
    <dataField name="计数项:员工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71EAD-310E-4347-B7B1-E580C77B66EA}" name="数据透视表9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4">
  <location ref="A10:A11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6">
        <item x="0"/>
        <item x="2"/>
        <item x="1"/>
        <item x="3"/>
        <item x="4"/>
        <item t="default"/>
      </items>
    </pivotField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平均值项:月薪(元)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F68BE-1D19-4DC4-808F-496045982A30}" name="数据透视表7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2">
  <location ref="A6:A7" firstHeaderRow="1" firstDataRow="1" firstDataCol="0"/>
  <pivotFields count="12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求和项:年薪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F1561-4680-42C2-A818-028CA06840DB}" name="数据透视表6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3">
  <location ref="A54:F59" firstHeaderRow="1" firstDataRow="2" firstDataCol="1"/>
  <pivotFields count="12"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员工ID" fld="1" subtotal="count" baseField="0" baseItem="0"/>
  </dataFields>
  <chartFormats count="5"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82DC3-8A27-420F-B840-9CABA861CD57}" name="数据透视表4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6">
  <location ref="A37:B41" firstHeaderRow="1" firstDataRow="1" firstDataCol="1"/>
  <pivotFields count="12"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计数项:员工ID" fld="1" subtotal="count" baseField="0" baseItem="0"/>
  </dataFields>
  <chartFormats count="5"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F257D-432B-45AD-9F46-D3A0BA7B8594}" name="数据透视表3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4">
  <location ref="A32:B35" firstHeaderRow="1" firstDataRow="1" firstDataCol="1"/>
  <pivotFields count="12"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计数项:员工ID" fld="1" subtotal="count" baseField="0" baseItem="0"/>
  </dataFields>
  <chartFormats count="4"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B54E2-B3A6-4DCA-AEC6-568D841B9A34}" name="数据透视表2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2">
  <location ref="A24:B29" firstHeaderRow="1" firstDataRow="1" firstDataCol="1"/>
  <pivotFields count="12"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员工ID" fld="1" subtotal="count" baseField="0" baseItem="0"/>
  </dataFields>
  <chartFormats count="5"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CA2A6A-3ED8-47E9-B99C-C8DE117D369D}" autoFormatId="16" applyNumberFormats="0" applyBorderFormats="0" applyFontFormats="0" applyPatternFormats="0" applyAlignmentFormats="0" applyWidthHeightFormats="0">
  <queryTableRefresh nextId="13">
    <queryTableFields count="12">
      <queryTableField id="1" name="部门" tableColumnId="1"/>
      <queryTableField id="2" name="员工ID" tableColumnId="2"/>
      <queryTableField id="3" name="司龄(年)" tableColumnId="3"/>
      <queryTableField id="4" name="年龄" tableColumnId="4"/>
      <queryTableField id="5" name="性别" tableColumnId="5"/>
      <queryTableField id="6" name="学历" tableColumnId="6"/>
      <queryTableField id="7" name="岗级" tableColumnId="7"/>
      <queryTableField id="8" name="月薪(元)" tableColumnId="8"/>
      <queryTableField id="9" name="绩效总评" tableColumnId="9"/>
      <queryTableField id="10" name="司龄分布" tableColumnId="10"/>
      <queryTableField id="11" name="年龄分布" tableColumnId="11"/>
      <queryTableField id="12" name="年薪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部门" xr10:uid="{A75E1AEA-5525-4D50-8A21-A430E6E4CC3D}" sourceName="部门">
  <pivotTables>
    <pivotTable tabId="5" name="数据透视表10"/>
    <pivotTable tabId="5" name="数据透视表11"/>
    <pivotTable tabId="5" name="数据透视表12"/>
    <pivotTable tabId="5" name="数据透视表2"/>
    <pivotTable tabId="5" name="数据透视表3"/>
    <pivotTable tabId="5" name="数据透视表4"/>
    <pivotTable tabId="5" name="数据透视表6"/>
    <pivotTable tabId="5" name="数据透视表7"/>
    <pivotTable tabId="5" name="数据透视表9"/>
  </pivotTables>
  <data>
    <tabular pivotCacheId="54657118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岗级" xr10:uid="{1E0C7B79-3C12-410A-835C-42C2E1229708}" sourceName="岗级">
  <pivotTables>
    <pivotTable tabId="5" name="数据透视表10"/>
    <pivotTable tabId="5" name="数据透视表11"/>
    <pivotTable tabId="5" name="数据透视表12"/>
    <pivotTable tabId="5" name="数据透视表2"/>
    <pivotTable tabId="5" name="数据透视表3"/>
    <pivotTable tabId="5" name="数据透视表4"/>
    <pivotTable tabId="5" name="数据透视表6"/>
    <pivotTable tabId="5" name="数据透视表7"/>
    <pivotTable tabId="5" name="数据透视表9"/>
  </pivotTables>
  <data>
    <tabular pivotCacheId="546571180">
      <items count="5">
        <i x="0" s="1"/>
        <i x="2" s="1"/>
        <i x="1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部门" xr10:uid="{76061175-9020-46E7-9E2C-4124A048B05B}" cache="切片器_部门" caption="部门" columnCount="3" showCaption="0" style="SlicerStyleDark2" rowHeight="252000"/>
  <slicer name="岗级" xr10:uid="{67EDB754-215E-4A84-9577-DEC571A722E0}" cache="切片器_岗级" caption="岗级" columnCount="5" showCaption="0" style="SlicerStyleLight2" rowHeight="252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5DA0D-946A-4FDD-9A2F-66F89AB27921}" name="表1" displayName="表1" ref="A1:O61" totalsRowShown="0" headerRowDxfId="6" dataDxfId="7">
  <autoFilter ref="A1:O61" xr:uid="{39C5DA0D-946A-4FDD-9A2F-66F89AB279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685CC9D-C1B4-4AE8-B4DF-6F5CE0C12DE4}" name="序号" dataDxfId="22"/>
    <tableColumn id="2" xr3:uid="{5FE2F3FB-F172-4617-8C1E-1A71EBB3DBF5}" name="部门" dataDxfId="21"/>
    <tableColumn id="3" xr3:uid="{8920EACC-3FF7-4E8E-B279-72AAEDD01C59}" name="岗位编号" dataDxfId="20"/>
    <tableColumn id="4" xr3:uid="{240F8D23-62DD-4E2D-BEB8-24DD05C67291}" name="员工ID" dataDxfId="19"/>
    <tableColumn id="5" xr3:uid="{FB5B618B-61D4-4ABB-8ECC-B2FBAF4CBFF9}" name="姓名" dataDxfId="18"/>
    <tableColumn id="6" xr3:uid="{43B487F8-5A71-4559-AFF4-28BB07359F33}" name="岗位" dataDxfId="17"/>
    <tableColumn id="7" xr3:uid="{E6E4BE54-BF04-417F-A5C7-0FDA0080A723}" name="入职日期" dataDxfId="16"/>
    <tableColumn id="8" xr3:uid="{EFC2C334-03A3-482B-B20F-FC84DF572F4C}" name="司龄(年)" dataDxfId="15">
      <calculatedColumnFormula>YEAR(TODAY()) - YEAR(G2)</calculatedColumnFormula>
    </tableColumn>
    <tableColumn id="9" xr3:uid="{805EB4F2-0559-4F1B-8531-594786862D8B}" name="出生年份" dataDxfId="14"/>
    <tableColumn id="10" xr3:uid="{B3E6ED8A-EA35-48E9-A163-9C2976CEA68B}" name="年龄" dataDxfId="13">
      <calculatedColumnFormula>YEAR(TODAY()) - I2</calculatedColumnFormula>
    </tableColumn>
    <tableColumn id="11" xr3:uid="{086F410D-5916-4607-8089-F2C34E76A9AC}" name="性别" dataDxfId="12"/>
    <tableColumn id="12" xr3:uid="{64DC6E72-EBE4-41DA-BE8A-7A00F11ABF91}" name="学历" dataDxfId="11"/>
    <tableColumn id="13" xr3:uid="{5512EE34-5FE7-423E-B4FC-ADEDF6AE08AB}" name="岗级" dataDxfId="10"/>
    <tableColumn id="14" xr3:uid="{59C27D16-DF87-4A81-A7C3-E135C796D85E}" name="月薪(元)" dataDxfId="9"/>
    <tableColumn id="15" xr3:uid="{3C3EF438-1DE0-427A-8661-BAD2E33A31E2}" name="绩效总评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F55BF-C6AB-4305-8166-BE57A62ECCEB}" name="表1_" displayName="表1_" ref="A1:L61" tableType="queryTable" totalsRowShown="0">
  <autoFilter ref="A1:L61" xr:uid="{D95F55BF-C6AB-4305-8166-BE57A62ECCEB}"/>
  <tableColumns count="12">
    <tableColumn id="1" xr3:uid="{D4997619-A202-47DC-8CB3-0C7415BE93A8}" uniqueName="1" name="部门" queryTableFieldId="1" dataDxfId="5"/>
    <tableColumn id="2" xr3:uid="{C2BE3EDC-C097-4311-9F75-8324F5E2231B}" uniqueName="2" name="员工ID" queryTableFieldId="2" dataDxfId="4"/>
    <tableColumn id="3" xr3:uid="{3E09F8DE-7AB6-4BC1-8768-831E6A4F1159}" uniqueName="3" name="司龄(年)" queryTableFieldId="3"/>
    <tableColumn id="4" xr3:uid="{B03FB25A-83F9-4B99-802C-1D7B2A028004}" uniqueName="4" name="年龄" queryTableFieldId="4"/>
    <tableColumn id="5" xr3:uid="{6B669EEA-9FB1-4AA4-9B81-05CD00DCF114}" uniqueName="5" name="性别" queryTableFieldId="5" dataDxfId="3"/>
    <tableColumn id="6" xr3:uid="{41829E9B-64C7-479C-8385-FE658E767001}" uniqueName="6" name="学历" queryTableFieldId="6" dataDxfId="2"/>
    <tableColumn id="7" xr3:uid="{8147DA57-3B8F-4658-B538-EC854FE001E0}" uniqueName="7" name="岗级" queryTableFieldId="7" dataDxfId="1"/>
    <tableColumn id="8" xr3:uid="{2A228EE4-1931-40E6-99D9-33E48C3B57B9}" uniqueName="8" name="月薪(元)" queryTableFieldId="8"/>
    <tableColumn id="9" xr3:uid="{5BDAF7E0-9164-4990-9460-1C9AECD9AF47}" uniqueName="9" name="绩效总评" queryTableFieldId="9" dataDxfId="0"/>
    <tableColumn id="10" xr3:uid="{CE5F7DD2-EA8F-4BE7-91D1-E37A2073B291}" uniqueName="10" name="司龄分布" queryTableFieldId="10"/>
    <tableColumn id="11" xr3:uid="{65A491CE-048B-4C23-B061-04C7AC8C81B0}" uniqueName="11" name="年龄分布" queryTableFieldId="11"/>
    <tableColumn id="12" xr3:uid="{B4D185F4-8637-4DF4-A8A2-E8AD67429F81}" uniqueName="12" name="年薪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7C4B-B32C-4AD1-8051-9668B694BC67}">
  <dimension ref="A1:Q61"/>
  <sheetViews>
    <sheetView workbookViewId="0">
      <selection activeCell="E9" sqref="E9"/>
    </sheetView>
  </sheetViews>
  <sheetFormatPr defaultRowHeight="13.9" x14ac:dyDescent="0.4"/>
  <cols>
    <col min="1" max="1" width="6.46484375" style="3" customWidth="1"/>
    <col min="2" max="2" width="13.73046875" style="3" customWidth="1"/>
    <col min="3" max="3" width="10.33203125" style="3" customWidth="1"/>
    <col min="4" max="4" width="8.3984375" style="3" customWidth="1"/>
    <col min="5" max="5" width="6.46484375" style="3" customWidth="1"/>
    <col min="6" max="6" width="10.796875" style="3" bestFit="1" customWidth="1"/>
    <col min="7" max="7" width="10.59765625" style="3" bestFit="1" customWidth="1"/>
    <col min="8" max="8" width="9.73046875" style="8" customWidth="1"/>
    <col min="9" max="9" width="10.33203125" style="3" customWidth="1"/>
    <col min="10" max="13" width="6.46484375" style="3" customWidth="1"/>
    <col min="14" max="14" width="9.73046875" style="3" customWidth="1"/>
    <col min="15" max="15" width="10.33203125" style="3" customWidth="1"/>
    <col min="16" max="17" width="9.53125" style="3" bestFit="1" customWidth="1"/>
    <col min="18" max="16384" width="9.06640625" style="3"/>
  </cols>
  <sheetData>
    <row r="1" spans="1:17" x14ac:dyDescent="0.4">
      <c r="A1" s="2" t="s">
        <v>18</v>
      </c>
      <c r="B1" s="2" t="s">
        <v>2</v>
      </c>
      <c r="C1" s="2" t="s">
        <v>17</v>
      </c>
      <c r="D1" s="2" t="s">
        <v>0</v>
      </c>
      <c r="E1" s="2" t="s">
        <v>1</v>
      </c>
      <c r="F1" s="2" t="s">
        <v>3</v>
      </c>
      <c r="G1" s="2" t="s">
        <v>4</v>
      </c>
      <c r="H1" s="6" t="s">
        <v>8</v>
      </c>
      <c r="I1" s="2" t="s">
        <v>19</v>
      </c>
      <c r="J1" s="2" t="s">
        <v>5</v>
      </c>
      <c r="K1" s="2" t="s">
        <v>6</v>
      </c>
      <c r="L1" s="2" t="s">
        <v>7</v>
      </c>
      <c r="M1" s="2" t="s">
        <v>20</v>
      </c>
      <c r="N1" s="2" t="s">
        <v>9</v>
      </c>
      <c r="O1" s="2" t="s">
        <v>21</v>
      </c>
    </row>
    <row r="2" spans="1:17" x14ac:dyDescent="0.4">
      <c r="A2" s="1">
        <v>1</v>
      </c>
      <c r="B2" s="1" t="s">
        <v>12</v>
      </c>
      <c r="C2" s="1" t="s">
        <v>23</v>
      </c>
      <c r="D2" s="1" t="s">
        <v>10</v>
      </c>
      <c r="E2" s="1" t="s">
        <v>11</v>
      </c>
      <c r="F2" s="1" t="s">
        <v>13</v>
      </c>
      <c r="G2" s="4">
        <v>43905</v>
      </c>
      <c r="H2" s="7">
        <f ca="1">YEAR(TODAY()) - YEAR(G2)</f>
        <v>5</v>
      </c>
      <c r="I2" s="1">
        <v>1997</v>
      </c>
      <c r="J2" s="1">
        <f ca="1">YEAR(TODAY()) - I2</f>
        <v>28</v>
      </c>
      <c r="K2" s="1" t="s">
        <v>14</v>
      </c>
      <c r="L2" s="1" t="s">
        <v>15</v>
      </c>
      <c r="M2" s="1" t="s">
        <v>24</v>
      </c>
      <c r="N2" s="1">
        <v>11000</v>
      </c>
      <c r="O2" s="1" t="s">
        <v>25</v>
      </c>
      <c r="P2" s="5"/>
      <c r="Q2" s="5"/>
    </row>
    <row r="3" spans="1:17" x14ac:dyDescent="0.4">
      <c r="A3" s="1">
        <v>2</v>
      </c>
      <c r="B3" s="1" t="s">
        <v>12</v>
      </c>
      <c r="C3" s="1" t="s">
        <v>26</v>
      </c>
      <c r="D3" s="1" t="s">
        <v>27</v>
      </c>
      <c r="E3" s="1" t="s">
        <v>28</v>
      </c>
      <c r="F3" s="1" t="s">
        <v>29</v>
      </c>
      <c r="G3" s="4">
        <v>43647</v>
      </c>
      <c r="H3" s="7">
        <f ca="1">YEAR(TODAY()) - YEAR(G3)</f>
        <v>6</v>
      </c>
      <c r="I3" s="1">
        <v>1995</v>
      </c>
      <c r="J3" s="1">
        <f ca="1">YEAR(TODAY()) - I3</f>
        <v>30</v>
      </c>
      <c r="K3" s="1" t="s">
        <v>14</v>
      </c>
      <c r="L3" s="1" t="s">
        <v>31</v>
      </c>
      <c r="M3" s="1" t="s">
        <v>24</v>
      </c>
      <c r="N3" s="1">
        <v>11500</v>
      </c>
      <c r="O3" s="1" t="s">
        <v>32</v>
      </c>
    </row>
    <row r="4" spans="1:17" x14ac:dyDescent="0.4">
      <c r="A4" s="1">
        <v>3</v>
      </c>
      <c r="B4" s="1" t="s">
        <v>12</v>
      </c>
      <c r="C4" s="1" t="s">
        <v>44</v>
      </c>
      <c r="D4" s="1" t="s">
        <v>45</v>
      </c>
      <c r="E4" s="1" t="s">
        <v>46</v>
      </c>
      <c r="F4" s="1" t="s">
        <v>47</v>
      </c>
      <c r="G4" s="4">
        <v>42740</v>
      </c>
      <c r="H4" s="7">
        <f ca="1">YEAR(TODAY()) - YEAR(G4)</f>
        <v>8</v>
      </c>
      <c r="I4" s="1">
        <v>1989</v>
      </c>
      <c r="J4" s="1">
        <f ca="1">YEAR(TODAY()) - I4</f>
        <v>36</v>
      </c>
      <c r="K4" s="1" t="s">
        <v>14</v>
      </c>
      <c r="L4" s="1" t="s">
        <v>31</v>
      </c>
      <c r="M4" s="1" t="s">
        <v>48</v>
      </c>
      <c r="N4" s="1">
        <v>16000</v>
      </c>
      <c r="O4" s="1" t="s">
        <v>16</v>
      </c>
    </row>
    <row r="5" spans="1:17" x14ac:dyDescent="0.4">
      <c r="A5" s="1">
        <v>4</v>
      </c>
      <c r="B5" s="1" t="s">
        <v>12</v>
      </c>
      <c r="C5" s="1" t="s">
        <v>58</v>
      </c>
      <c r="D5" s="1" t="s">
        <v>59</v>
      </c>
      <c r="E5" s="1" t="s">
        <v>60</v>
      </c>
      <c r="F5" s="1" t="s">
        <v>61</v>
      </c>
      <c r="G5" s="4">
        <v>44593</v>
      </c>
      <c r="H5" s="7">
        <f ca="1">YEAR(TODAY()) - YEAR(G5)</f>
        <v>3</v>
      </c>
      <c r="I5" s="1">
        <v>1997</v>
      </c>
      <c r="J5" s="1">
        <f ca="1">YEAR(TODAY()) - I5</f>
        <v>28</v>
      </c>
      <c r="K5" s="1" t="s">
        <v>14</v>
      </c>
      <c r="L5" s="1" t="s">
        <v>15</v>
      </c>
      <c r="M5" s="1" t="s">
        <v>38</v>
      </c>
      <c r="N5" s="1">
        <v>12500</v>
      </c>
      <c r="O5" s="1" t="s">
        <v>25</v>
      </c>
    </row>
    <row r="6" spans="1:17" x14ac:dyDescent="0.4">
      <c r="A6" s="1">
        <v>5</v>
      </c>
      <c r="B6" s="1" t="s">
        <v>12</v>
      </c>
      <c r="C6" s="1" t="s">
        <v>69</v>
      </c>
      <c r="D6" s="1" t="s">
        <v>70</v>
      </c>
      <c r="E6" s="1" t="s">
        <v>71</v>
      </c>
      <c r="F6" s="1" t="s">
        <v>72</v>
      </c>
      <c r="G6" s="4">
        <v>43709</v>
      </c>
      <c r="H6" s="7">
        <f ca="1">YEAR(TODAY()) - YEAR(G6)</f>
        <v>6</v>
      </c>
      <c r="I6" s="1">
        <v>1994</v>
      </c>
      <c r="J6" s="1">
        <f ca="1">YEAR(TODAY()) - I6</f>
        <v>31</v>
      </c>
      <c r="K6" s="1" t="s">
        <v>14</v>
      </c>
      <c r="L6" s="1" t="s">
        <v>15</v>
      </c>
      <c r="M6" s="1" t="s">
        <v>24</v>
      </c>
      <c r="N6" s="1">
        <v>11200</v>
      </c>
      <c r="O6" s="1" t="s">
        <v>25</v>
      </c>
    </row>
    <row r="7" spans="1:17" x14ac:dyDescent="0.4">
      <c r="A7" s="1">
        <v>6</v>
      </c>
      <c r="B7" s="1" t="s">
        <v>12</v>
      </c>
      <c r="C7" s="1" t="s">
        <v>73</v>
      </c>
      <c r="D7" s="1" t="s">
        <v>74</v>
      </c>
      <c r="E7" s="1" t="s">
        <v>75</v>
      </c>
      <c r="F7" s="1" t="s">
        <v>76</v>
      </c>
      <c r="G7" s="4">
        <v>43205</v>
      </c>
      <c r="H7" s="7">
        <f ca="1">YEAR(TODAY()) - YEAR(G7)</f>
        <v>7</v>
      </c>
      <c r="I7" s="1">
        <v>1991</v>
      </c>
      <c r="J7" s="1">
        <f ca="1">YEAR(TODAY()) - I7</f>
        <v>34</v>
      </c>
      <c r="K7" s="1" t="s">
        <v>30</v>
      </c>
      <c r="L7" s="1" t="s">
        <v>31</v>
      </c>
      <c r="M7" s="1" t="s">
        <v>38</v>
      </c>
      <c r="N7" s="1">
        <v>13500</v>
      </c>
      <c r="O7" s="1" t="s">
        <v>32</v>
      </c>
    </row>
    <row r="8" spans="1:17" x14ac:dyDescent="0.4">
      <c r="A8" s="1">
        <v>7</v>
      </c>
      <c r="B8" s="1" t="s">
        <v>12</v>
      </c>
      <c r="C8" s="1" t="s">
        <v>84</v>
      </c>
      <c r="D8" s="1" t="s">
        <v>85</v>
      </c>
      <c r="E8" s="1" t="s">
        <v>86</v>
      </c>
      <c r="F8" s="1" t="s">
        <v>87</v>
      </c>
      <c r="G8" s="4">
        <v>42339</v>
      </c>
      <c r="H8" s="7">
        <f ca="1">YEAR(TODAY()) - YEAR(G8)</f>
        <v>10</v>
      </c>
      <c r="I8" s="1">
        <v>1985</v>
      </c>
      <c r="J8" s="1">
        <f ca="1">YEAR(TODAY()) - I8</f>
        <v>40</v>
      </c>
      <c r="K8" s="1" t="s">
        <v>14</v>
      </c>
      <c r="L8" s="1" t="s">
        <v>31</v>
      </c>
      <c r="M8" s="1" t="s">
        <v>53</v>
      </c>
      <c r="N8" s="1">
        <v>23000</v>
      </c>
      <c r="O8" s="1" t="s">
        <v>16</v>
      </c>
    </row>
    <row r="9" spans="1:17" x14ac:dyDescent="0.4">
      <c r="A9" s="1">
        <v>8</v>
      </c>
      <c r="B9" s="1" t="s">
        <v>12</v>
      </c>
      <c r="C9" s="1" t="s">
        <v>92</v>
      </c>
      <c r="D9" s="1" t="s">
        <v>93</v>
      </c>
      <c r="E9" s="1" t="s">
        <v>94</v>
      </c>
      <c r="F9" s="1" t="s">
        <v>95</v>
      </c>
      <c r="G9" s="4">
        <v>42948</v>
      </c>
      <c r="H9" s="7">
        <f ca="1">YEAR(TODAY()) - YEAR(G9)</f>
        <v>8</v>
      </c>
      <c r="I9" s="1">
        <v>1990</v>
      </c>
      <c r="J9" s="1">
        <f ca="1">YEAR(TODAY()) - I9</f>
        <v>35</v>
      </c>
      <c r="K9" s="1" t="s">
        <v>14</v>
      </c>
      <c r="L9" s="1" t="s">
        <v>15</v>
      </c>
      <c r="M9" s="1" t="s">
        <v>48</v>
      </c>
      <c r="N9" s="1">
        <v>16500</v>
      </c>
      <c r="O9" s="1" t="s">
        <v>32</v>
      </c>
    </row>
    <row r="10" spans="1:17" x14ac:dyDescent="0.4">
      <c r="A10" s="1">
        <v>9</v>
      </c>
      <c r="B10" s="1" t="s">
        <v>12</v>
      </c>
      <c r="C10" s="1" t="s">
        <v>102</v>
      </c>
      <c r="D10" s="1" t="s">
        <v>103</v>
      </c>
      <c r="E10" s="1" t="s">
        <v>104</v>
      </c>
      <c r="F10" s="1" t="s">
        <v>47</v>
      </c>
      <c r="G10" s="4">
        <v>41760</v>
      </c>
      <c r="H10" s="7">
        <f ca="1">YEAR(TODAY()) - YEAR(G10)</f>
        <v>11</v>
      </c>
      <c r="I10" s="1">
        <v>1983</v>
      </c>
      <c r="J10" s="1">
        <f ca="1">YEAR(TODAY()) - I10</f>
        <v>42</v>
      </c>
      <c r="K10" s="1" t="s">
        <v>14</v>
      </c>
      <c r="L10" s="1" t="s">
        <v>225</v>
      </c>
      <c r="M10" s="1" t="s">
        <v>22</v>
      </c>
      <c r="N10" s="1">
        <v>31000</v>
      </c>
      <c r="O10" s="1" t="s">
        <v>16</v>
      </c>
    </row>
    <row r="11" spans="1:17" x14ac:dyDescent="0.4">
      <c r="A11" s="1">
        <v>10</v>
      </c>
      <c r="B11" s="1" t="s">
        <v>12</v>
      </c>
      <c r="C11" s="1" t="s">
        <v>108</v>
      </c>
      <c r="D11" s="1" t="s">
        <v>109</v>
      </c>
      <c r="E11" s="1" t="s">
        <v>110</v>
      </c>
      <c r="F11" s="1" t="s">
        <v>111</v>
      </c>
      <c r="G11" s="4">
        <v>43405</v>
      </c>
      <c r="H11" s="7">
        <f ca="1">YEAR(TODAY()) - YEAR(G11)</f>
        <v>7</v>
      </c>
      <c r="I11" s="1">
        <v>1991</v>
      </c>
      <c r="J11" s="1">
        <f ca="1">YEAR(TODAY()) - I11</f>
        <v>34</v>
      </c>
      <c r="K11" s="1" t="s">
        <v>14</v>
      </c>
      <c r="L11" s="1" t="s">
        <v>31</v>
      </c>
      <c r="M11" s="1" t="s">
        <v>48</v>
      </c>
      <c r="N11" s="1">
        <v>17500</v>
      </c>
      <c r="O11" s="1" t="s">
        <v>32</v>
      </c>
    </row>
    <row r="12" spans="1:17" x14ac:dyDescent="0.4">
      <c r="A12" s="1">
        <v>11</v>
      </c>
      <c r="B12" s="1" t="s">
        <v>12</v>
      </c>
      <c r="C12" s="1" t="s">
        <v>119</v>
      </c>
      <c r="D12" s="1" t="s">
        <v>120</v>
      </c>
      <c r="E12" s="1" t="s">
        <v>121</v>
      </c>
      <c r="F12" s="1" t="s">
        <v>122</v>
      </c>
      <c r="G12" s="4">
        <v>42370</v>
      </c>
      <c r="H12" s="7">
        <f ca="1">YEAR(TODAY()) - YEAR(G12)</f>
        <v>9</v>
      </c>
      <c r="I12" s="1">
        <v>1987</v>
      </c>
      <c r="J12" s="1">
        <f ca="1">YEAR(TODAY()) - I12</f>
        <v>38</v>
      </c>
      <c r="K12" s="1" t="s">
        <v>14</v>
      </c>
      <c r="L12" s="1" t="s">
        <v>31</v>
      </c>
      <c r="M12" s="1" t="s">
        <v>53</v>
      </c>
      <c r="N12" s="1">
        <v>24000</v>
      </c>
      <c r="O12" s="1" t="s">
        <v>25</v>
      </c>
    </row>
    <row r="13" spans="1:17" x14ac:dyDescent="0.4">
      <c r="A13" s="1">
        <v>12</v>
      </c>
      <c r="B13" s="1" t="s">
        <v>12</v>
      </c>
      <c r="C13" s="1" t="s">
        <v>127</v>
      </c>
      <c r="D13" s="1" t="s">
        <v>128</v>
      </c>
      <c r="E13" s="1" t="s">
        <v>129</v>
      </c>
      <c r="F13" s="1" t="s">
        <v>29</v>
      </c>
      <c r="G13" s="4">
        <v>43983</v>
      </c>
      <c r="H13" s="7">
        <f ca="1">YEAR(TODAY()) - YEAR(G13)</f>
        <v>5</v>
      </c>
      <c r="I13" s="1">
        <v>1996</v>
      </c>
      <c r="J13" s="1">
        <f ca="1">YEAR(TODAY()) - I13</f>
        <v>29</v>
      </c>
      <c r="K13" s="1" t="s">
        <v>30</v>
      </c>
      <c r="L13" s="1" t="s">
        <v>15</v>
      </c>
      <c r="M13" s="1" t="s">
        <v>24</v>
      </c>
      <c r="N13" s="1">
        <v>10900</v>
      </c>
      <c r="O13" s="1" t="s">
        <v>25</v>
      </c>
    </row>
    <row r="14" spans="1:17" x14ac:dyDescent="0.4">
      <c r="A14" s="1">
        <v>13</v>
      </c>
      <c r="B14" s="1" t="s">
        <v>12</v>
      </c>
      <c r="C14" s="1" t="s">
        <v>136</v>
      </c>
      <c r="D14" s="1" t="s">
        <v>137</v>
      </c>
      <c r="E14" s="1" t="s">
        <v>138</v>
      </c>
      <c r="F14" s="1" t="s">
        <v>13</v>
      </c>
      <c r="G14" s="4">
        <v>43586</v>
      </c>
      <c r="H14" s="7">
        <f ca="1">YEAR(TODAY()) - YEAR(G14)</f>
        <v>6</v>
      </c>
      <c r="I14" s="1">
        <v>1994</v>
      </c>
      <c r="J14" s="1">
        <f ca="1">YEAR(TODAY()) - I14</f>
        <v>31</v>
      </c>
      <c r="K14" s="1" t="s">
        <v>14</v>
      </c>
      <c r="L14" s="1" t="s">
        <v>15</v>
      </c>
      <c r="M14" s="1" t="s">
        <v>38</v>
      </c>
      <c r="N14" s="1">
        <v>12800</v>
      </c>
      <c r="O14" s="1" t="s">
        <v>32</v>
      </c>
    </row>
    <row r="15" spans="1:17" x14ac:dyDescent="0.4">
      <c r="A15" s="1">
        <v>14</v>
      </c>
      <c r="B15" s="1" t="s">
        <v>12</v>
      </c>
      <c r="C15" s="1" t="s">
        <v>142</v>
      </c>
      <c r="D15" s="1" t="s">
        <v>143</v>
      </c>
      <c r="E15" s="1" t="s">
        <v>28</v>
      </c>
      <c r="F15" s="1" t="s">
        <v>87</v>
      </c>
      <c r="G15" s="4">
        <v>42767</v>
      </c>
      <c r="H15" s="7">
        <f ca="1">YEAR(TODAY()) - YEAR(G15)</f>
        <v>8</v>
      </c>
      <c r="I15" s="1">
        <v>1990</v>
      </c>
      <c r="J15" s="1">
        <f ca="1">YEAR(TODAY()) - I15</f>
        <v>35</v>
      </c>
      <c r="K15" s="1" t="s">
        <v>14</v>
      </c>
      <c r="L15" s="1" t="s">
        <v>31</v>
      </c>
      <c r="M15" s="1" t="s">
        <v>48</v>
      </c>
      <c r="N15" s="1">
        <v>16800</v>
      </c>
      <c r="O15" s="1" t="s">
        <v>25</v>
      </c>
    </row>
    <row r="16" spans="1:17" x14ac:dyDescent="0.4">
      <c r="A16" s="1">
        <v>15</v>
      </c>
      <c r="B16" s="1" t="s">
        <v>12</v>
      </c>
      <c r="C16" s="1" t="s">
        <v>148</v>
      </c>
      <c r="D16" s="1" t="s">
        <v>149</v>
      </c>
      <c r="E16" s="1" t="s">
        <v>46</v>
      </c>
      <c r="F16" s="1" t="s">
        <v>47</v>
      </c>
      <c r="G16" s="4">
        <v>41730</v>
      </c>
      <c r="H16" s="7">
        <f ca="1">YEAR(TODAY()) - YEAR(G16)</f>
        <v>11</v>
      </c>
      <c r="I16" s="1">
        <v>1983</v>
      </c>
      <c r="J16" s="1">
        <f ca="1">YEAR(TODAY()) - I16</f>
        <v>42</v>
      </c>
      <c r="K16" s="1" t="s">
        <v>14</v>
      </c>
      <c r="L16" s="1" t="s">
        <v>225</v>
      </c>
      <c r="M16" s="1" t="s">
        <v>22</v>
      </c>
      <c r="N16" s="1">
        <v>30500</v>
      </c>
      <c r="O16" s="1" t="s">
        <v>16</v>
      </c>
    </row>
    <row r="17" spans="1:15" x14ac:dyDescent="0.4">
      <c r="A17" s="1">
        <v>16</v>
      </c>
      <c r="B17" s="1" t="s">
        <v>12</v>
      </c>
      <c r="C17" s="1" t="s">
        <v>152</v>
      </c>
      <c r="D17" s="1" t="s">
        <v>153</v>
      </c>
      <c r="E17" s="1" t="s">
        <v>56</v>
      </c>
      <c r="F17" s="1" t="s">
        <v>61</v>
      </c>
      <c r="G17" s="4">
        <v>44197</v>
      </c>
      <c r="H17" s="7">
        <f ca="1">YEAR(TODAY()) - YEAR(G17)</f>
        <v>4</v>
      </c>
      <c r="I17" s="1">
        <v>1997</v>
      </c>
      <c r="J17" s="1">
        <f ca="1">YEAR(TODAY()) - I17</f>
        <v>28</v>
      </c>
      <c r="K17" s="1" t="s">
        <v>14</v>
      </c>
      <c r="L17" s="1" t="s">
        <v>15</v>
      </c>
      <c r="M17" s="1" t="s">
        <v>24</v>
      </c>
      <c r="N17" s="1">
        <v>10700</v>
      </c>
      <c r="O17" s="1" t="s">
        <v>25</v>
      </c>
    </row>
    <row r="18" spans="1:15" x14ac:dyDescent="0.4">
      <c r="A18" s="1">
        <v>17</v>
      </c>
      <c r="B18" s="1" t="s">
        <v>12</v>
      </c>
      <c r="C18" s="1" t="s">
        <v>158</v>
      </c>
      <c r="D18" s="1" t="s">
        <v>159</v>
      </c>
      <c r="E18" s="1" t="s">
        <v>68</v>
      </c>
      <c r="F18" s="1" t="s">
        <v>122</v>
      </c>
      <c r="G18" s="4">
        <v>42522</v>
      </c>
      <c r="H18" s="7">
        <f ca="1">YEAR(TODAY()) - YEAR(G18)</f>
        <v>9</v>
      </c>
      <c r="I18" s="1">
        <v>1987</v>
      </c>
      <c r="J18" s="1">
        <f ca="1">YEAR(TODAY()) - I18</f>
        <v>38</v>
      </c>
      <c r="K18" s="1" t="s">
        <v>30</v>
      </c>
      <c r="L18" s="1" t="s">
        <v>31</v>
      </c>
      <c r="M18" s="1" t="s">
        <v>53</v>
      </c>
      <c r="N18" s="1">
        <v>23500</v>
      </c>
      <c r="O18" s="1" t="s">
        <v>32</v>
      </c>
    </row>
    <row r="19" spans="1:15" x14ac:dyDescent="0.4">
      <c r="A19" s="1">
        <v>18</v>
      </c>
      <c r="B19" s="1" t="s">
        <v>12</v>
      </c>
      <c r="C19" s="1" t="s">
        <v>163</v>
      </c>
      <c r="D19" s="1" t="s">
        <v>164</v>
      </c>
      <c r="E19" s="1" t="s">
        <v>11</v>
      </c>
      <c r="F19" s="1" t="s">
        <v>13</v>
      </c>
      <c r="G19" s="4">
        <v>43525</v>
      </c>
      <c r="H19" s="7">
        <f ca="1">YEAR(TODAY()) - YEAR(G19)</f>
        <v>6</v>
      </c>
      <c r="I19" s="1">
        <v>1994</v>
      </c>
      <c r="J19" s="1">
        <f ca="1">YEAR(TODAY()) - I19</f>
        <v>31</v>
      </c>
      <c r="K19" s="1" t="s">
        <v>30</v>
      </c>
      <c r="L19" s="1" t="s">
        <v>15</v>
      </c>
      <c r="M19" s="1" t="s">
        <v>38</v>
      </c>
      <c r="N19" s="1">
        <v>12800</v>
      </c>
      <c r="O19" s="1" t="s">
        <v>32</v>
      </c>
    </row>
    <row r="20" spans="1:15" x14ac:dyDescent="0.4">
      <c r="A20" s="1">
        <v>19</v>
      </c>
      <c r="B20" s="1" t="s">
        <v>12</v>
      </c>
      <c r="C20" s="1" t="s">
        <v>170</v>
      </c>
      <c r="D20" s="1" t="s">
        <v>171</v>
      </c>
      <c r="E20" s="1" t="s">
        <v>172</v>
      </c>
      <c r="F20" s="1" t="s">
        <v>87</v>
      </c>
      <c r="G20" s="4">
        <v>42948</v>
      </c>
      <c r="H20" s="7">
        <f ca="1">YEAR(TODAY()) - YEAR(G20)</f>
        <v>8</v>
      </c>
      <c r="I20" s="1">
        <v>1990</v>
      </c>
      <c r="J20" s="1">
        <f ca="1">YEAR(TODAY()) - I20</f>
        <v>35</v>
      </c>
      <c r="K20" s="1" t="s">
        <v>30</v>
      </c>
      <c r="L20" s="1" t="s">
        <v>31</v>
      </c>
      <c r="M20" s="1" t="s">
        <v>48</v>
      </c>
      <c r="N20" s="1">
        <v>17000</v>
      </c>
      <c r="O20" s="1" t="s">
        <v>32</v>
      </c>
    </row>
    <row r="21" spans="1:15" x14ac:dyDescent="0.4">
      <c r="A21" s="1">
        <v>20</v>
      </c>
      <c r="B21" s="1" t="s">
        <v>12</v>
      </c>
      <c r="C21" s="1" t="s">
        <v>176</v>
      </c>
      <c r="D21" s="1" t="s">
        <v>177</v>
      </c>
      <c r="E21" s="1" t="s">
        <v>178</v>
      </c>
      <c r="F21" s="1" t="s">
        <v>47</v>
      </c>
      <c r="G21" s="4">
        <v>42278</v>
      </c>
      <c r="H21" s="7">
        <f ca="1">YEAR(TODAY()) - YEAR(G21)</f>
        <v>10</v>
      </c>
      <c r="I21" s="1">
        <v>1985</v>
      </c>
      <c r="J21" s="1">
        <f ca="1">YEAR(TODAY()) - I21</f>
        <v>40</v>
      </c>
      <c r="K21" s="1" t="s">
        <v>30</v>
      </c>
      <c r="L21" s="1" t="s">
        <v>31</v>
      </c>
      <c r="M21" s="1" t="s">
        <v>53</v>
      </c>
      <c r="N21" s="1">
        <v>22500</v>
      </c>
      <c r="O21" s="1" t="s">
        <v>16</v>
      </c>
    </row>
    <row r="22" spans="1:15" x14ac:dyDescent="0.4">
      <c r="A22" s="1">
        <v>21</v>
      </c>
      <c r="B22" s="1" t="s">
        <v>12</v>
      </c>
      <c r="C22" s="1" t="s">
        <v>182</v>
      </c>
      <c r="D22" s="1" t="s">
        <v>183</v>
      </c>
      <c r="E22" s="1" t="s">
        <v>184</v>
      </c>
      <c r="F22" s="1" t="s">
        <v>122</v>
      </c>
      <c r="G22" s="4">
        <v>43101</v>
      </c>
      <c r="H22" s="7">
        <f ca="1">YEAR(TODAY()) - YEAR(G22)</f>
        <v>7</v>
      </c>
      <c r="I22" s="1">
        <v>1991</v>
      </c>
      <c r="J22" s="1">
        <f ca="1">YEAR(TODAY()) - I22</f>
        <v>34</v>
      </c>
      <c r="K22" s="1" t="s">
        <v>14</v>
      </c>
      <c r="L22" s="1" t="s">
        <v>31</v>
      </c>
      <c r="M22" s="1" t="s">
        <v>48</v>
      </c>
      <c r="N22" s="1">
        <v>18000</v>
      </c>
      <c r="O22" s="1" t="s">
        <v>32</v>
      </c>
    </row>
    <row r="23" spans="1:15" x14ac:dyDescent="0.4">
      <c r="A23" s="1">
        <v>22</v>
      </c>
      <c r="B23" s="1" t="s">
        <v>12</v>
      </c>
      <c r="C23" s="1" t="s">
        <v>188</v>
      </c>
      <c r="D23" s="1" t="s">
        <v>189</v>
      </c>
      <c r="E23" s="1" t="s">
        <v>162</v>
      </c>
      <c r="F23" s="1" t="s">
        <v>61</v>
      </c>
      <c r="G23" s="4">
        <v>43952</v>
      </c>
      <c r="H23" s="7">
        <f ca="1">YEAR(TODAY()) - YEAR(G23)</f>
        <v>5</v>
      </c>
      <c r="I23" s="1">
        <v>1996</v>
      </c>
      <c r="J23" s="1">
        <f ca="1">YEAR(TODAY()) - I23</f>
        <v>29</v>
      </c>
      <c r="K23" s="1" t="s">
        <v>30</v>
      </c>
      <c r="L23" s="1" t="s">
        <v>15</v>
      </c>
      <c r="M23" s="1" t="s">
        <v>24</v>
      </c>
      <c r="N23" s="1">
        <v>11100</v>
      </c>
      <c r="O23" s="1" t="s">
        <v>25</v>
      </c>
    </row>
    <row r="24" spans="1:15" x14ac:dyDescent="0.4">
      <c r="A24" s="1">
        <v>23</v>
      </c>
      <c r="B24" s="1" t="s">
        <v>12</v>
      </c>
      <c r="C24" s="1" t="s">
        <v>192</v>
      </c>
      <c r="D24" s="1" t="s">
        <v>193</v>
      </c>
      <c r="E24" s="1" t="s">
        <v>110</v>
      </c>
      <c r="F24" s="1" t="s">
        <v>87</v>
      </c>
      <c r="G24" s="4">
        <v>42614</v>
      </c>
      <c r="H24" s="7">
        <f ca="1">YEAR(TODAY()) - YEAR(G24)</f>
        <v>9</v>
      </c>
      <c r="I24" s="1">
        <v>1987</v>
      </c>
      <c r="J24" s="1">
        <f ca="1">YEAR(TODAY()) - I24</f>
        <v>38</v>
      </c>
      <c r="K24" s="1" t="s">
        <v>30</v>
      </c>
      <c r="L24" s="1" t="s">
        <v>31</v>
      </c>
      <c r="M24" s="1" t="s">
        <v>53</v>
      </c>
      <c r="N24" s="1">
        <v>23500</v>
      </c>
      <c r="O24" s="1" t="s">
        <v>25</v>
      </c>
    </row>
    <row r="25" spans="1:15" x14ac:dyDescent="0.4">
      <c r="A25" s="1">
        <v>24</v>
      </c>
      <c r="B25" s="1" t="s">
        <v>12</v>
      </c>
      <c r="C25" s="1" t="s">
        <v>196</v>
      </c>
      <c r="D25" s="1" t="s">
        <v>197</v>
      </c>
      <c r="E25" s="1" t="s">
        <v>172</v>
      </c>
      <c r="F25" s="1" t="s">
        <v>47</v>
      </c>
      <c r="G25" s="4">
        <v>41974</v>
      </c>
      <c r="H25" s="7">
        <f ca="1">YEAR(TODAY()) - YEAR(G25)</f>
        <v>11</v>
      </c>
      <c r="I25" s="1">
        <v>1984</v>
      </c>
      <c r="J25" s="1">
        <f ca="1">YEAR(TODAY()) - I25</f>
        <v>41</v>
      </c>
      <c r="K25" s="1" t="s">
        <v>30</v>
      </c>
      <c r="L25" s="1" t="s">
        <v>225</v>
      </c>
      <c r="M25" s="1" t="s">
        <v>22</v>
      </c>
      <c r="N25" s="1">
        <v>31500</v>
      </c>
      <c r="O25" s="1" t="s">
        <v>25</v>
      </c>
    </row>
    <row r="26" spans="1:15" x14ac:dyDescent="0.4">
      <c r="A26" s="1">
        <v>25</v>
      </c>
      <c r="B26" s="1" t="s">
        <v>12</v>
      </c>
      <c r="C26" s="1" t="s">
        <v>200</v>
      </c>
      <c r="D26" s="1" t="s">
        <v>201</v>
      </c>
      <c r="E26" s="1" t="s">
        <v>178</v>
      </c>
      <c r="F26" s="1" t="s">
        <v>122</v>
      </c>
      <c r="G26" s="4">
        <v>43525</v>
      </c>
      <c r="H26" s="7">
        <f ca="1">YEAR(TODAY()) - YEAR(G26)</f>
        <v>6</v>
      </c>
      <c r="I26" s="1">
        <v>1993</v>
      </c>
      <c r="J26" s="1">
        <f ca="1">YEAR(TODAY()) - I26</f>
        <v>32</v>
      </c>
      <c r="K26" s="1" t="s">
        <v>30</v>
      </c>
      <c r="L26" s="1" t="s">
        <v>31</v>
      </c>
      <c r="M26" s="1" t="s">
        <v>38</v>
      </c>
      <c r="N26" s="1">
        <v>14500</v>
      </c>
      <c r="O26" s="1" t="s">
        <v>32</v>
      </c>
    </row>
    <row r="27" spans="1:15" x14ac:dyDescent="0.4">
      <c r="A27" s="1">
        <v>26</v>
      </c>
      <c r="B27" s="1" t="s">
        <v>12</v>
      </c>
      <c r="C27" s="1" t="s">
        <v>204</v>
      </c>
      <c r="D27" s="1" t="s">
        <v>205</v>
      </c>
      <c r="E27" s="1" t="s">
        <v>184</v>
      </c>
      <c r="F27" s="1" t="s">
        <v>87</v>
      </c>
      <c r="G27" s="4">
        <v>42917</v>
      </c>
      <c r="H27" s="7">
        <f ca="1">YEAR(TODAY()) - YEAR(G27)</f>
        <v>8</v>
      </c>
      <c r="I27" s="1">
        <v>1990</v>
      </c>
      <c r="J27" s="1">
        <f ca="1">YEAR(TODAY()) - I27</f>
        <v>35</v>
      </c>
      <c r="K27" s="1" t="s">
        <v>30</v>
      </c>
      <c r="L27" s="1" t="s">
        <v>31</v>
      </c>
      <c r="M27" s="1" t="s">
        <v>48</v>
      </c>
      <c r="N27" s="1">
        <v>17200</v>
      </c>
      <c r="O27" s="1" t="s">
        <v>25</v>
      </c>
    </row>
    <row r="28" spans="1:15" ht="27.75" x14ac:dyDescent="0.4">
      <c r="A28" s="1">
        <v>27</v>
      </c>
      <c r="B28" s="1" t="s">
        <v>39</v>
      </c>
      <c r="C28" s="1" t="s">
        <v>40</v>
      </c>
      <c r="D28" s="1" t="s">
        <v>41</v>
      </c>
      <c r="E28" s="1" t="s">
        <v>42</v>
      </c>
      <c r="F28" s="1" t="s">
        <v>43</v>
      </c>
      <c r="G28" s="4">
        <v>44326</v>
      </c>
      <c r="H28" s="7">
        <f ca="1">YEAR(TODAY()) - YEAR(G28)</f>
        <v>4</v>
      </c>
      <c r="I28" s="1">
        <v>1998</v>
      </c>
      <c r="J28" s="1">
        <f ca="1">YEAR(TODAY()) - I28</f>
        <v>27</v>
      </c>
      <c r="K28" s="1" t="s">
        <v>30</v>
      </c>
      <c r="L28" s="1" t="s">
        <v>15</v>
      </c>
      <c r="M28" s="1" t="s">
        <v>24</v>
      </c>
      <c r="N28" s="1">
        <v>10000</v>
      </c>
      <c r="O28" s="1" t="s">
        <v>25</v>
      </c>
    </row>
    <row r="29" spans="1:15" ht="27.75" x14ac:dyDescent="0.4">
      <c r="A29" s="1">
        <v>28</v>
      </c>
      <c r="B29" s="1" t="s">
        <v>39</v>
      </c>
      <c r="C29" s="1" t="s">
        <v>54</v>
      </c>
      <c r="D29" s="1" t="s">
        <v>55</v>
      </c>
      <c r="E29" s="1" t="s">
        <v>56</v>
      </c>
      <c r="F29" s="1" t="s">
        <v>57</v>
      </c>
      <c r="G29" s="4">
        <v>42119</v>
      </c>
      <c r="H29" s="7">
        <f ca="1">YEAR(TODAY()) - YEAR(G29)</f>
        <v>10</v>
      </c>
      <c r="I29" s="1">
        <v>1985</v>
      </c>
      <c r="J29" s="1">
        <f ca="1">YEAR(TODAY()) - I29</f>
        <v>40</v>
      </c>
      <c r="K29" s="1" t="s">
        <v>30</v>
      </c>
      <c r="L29" s="1" t="s">
        <v>15</v>
      </c>
      <c r="M29" s="1" t="s">
        <v>53</v>
      </c>
      <c r="N29" s="1">
        <v>21000</v>
      </c>
      <c r="O29" s="1" t="s">
        <v>32</v>
      </c>
    </row>
    <row r="30" spans="1:15" ht="27.75" x14ac:dyDescent="0.4">
      <c r="A30" s="1">
        <v>29</v>
      </c>
      <c r="B30" s="1" t="s">
        <v>39</v>
      </c>
      <c r="C30" s="1" t="s">
        <v>66</v>
      </c>
      <c r="D30" s="1" t="s">
        <v>67</v>
      </c>
      <c r="E30" s="1" t="s">
        <v>68</v>
      </c>
      <c r="F30" s="1" t="s">
        <v>43</v>
      </c>
      <c r="G30" s="4">
        <v>44511</v>
      </c>
      <c r="H30" s="7">
        <f ca="1">YEAR(TODAY()) - YEAR(G30)</f>
        <v>4</v>
      </c>
      <c r="I30" s="1">
        <v>1996</v>
      </c>
      <c r="J30" s="1">
        <f ca="1">YEAR(TODAY()) - I30</f>
        <v>29</v>
      </c>
      <c r="K30" s="1" t="s">
        <v>30</v>
      </c>
      <c r="L30" s="1" t="s">
        <v>15</v>
      </c>
      <c r="M30" s="1" t="s">
        <v>38</v>
      </c>
      <c r="N30" s="1">
        <v>13500</v>
      </c>
      <c r="O30" s="1" t="s">
        <v>25</v>
      </c>
    </row>
    <row r="31" spans="1:15" ht="27.75" x14ac:dyDescent="0.4">
      <c r="A31" s="1">
        <v>30</v>
      </c>
      <c r="B31" s="1" t="s">
        <v>39</v>
      </c>
      <c r="C31" s="1" t="s">
        <v>81</v>
      </c>
      <c r="D31" s="1" t="s">
        <v>82</v>
      </c>
      <c r="E31" s="1" t="s">
        <v>83</v>
      </c>
      <c r="F31" s="1" t="s">
        <v>57</v>
      </c>
      <c r="G31" s="4">
        <v>42439</v>
      </c>
      <c r="H31" s="7">
        <f ca="1">YEAR(TODAY()) - YEAR(G31)</f>
        <v>9</v>
      </c>
      <c r="I31" s="1">
        <v>1988</v>
      </c>
      <c r="J31" s="1">
        <f ca="1">YEAR(TODAY()) - I31</f>
        <v>37</v>
      </c>
      <c r="K31" s="1" t="s">
        <v>30</v>
      </c>
      <c r="L31" s="1" t="s">
        <v>31</v>
      </c>
      <c r="M31" s="1" t="s">
        <v>53</v>
      </c>
      <c r="N31" s="1">
        <v>22000</v>
      </c>
      <c r="O31" s="1" t="s">
        <v>25</v>
      </c>
    </row>
    <row r="32" spans="1:15" ht="27.75" x14ac:dyDescent="0.4">
      <c r="A32" s="1">
        <v>31</v>
      </c>
      <c r="B32" s="1" t="s">
        <v>39</v>
      </c>
      <c r="C32" s="1" t="s">
        <v>99</v>
      </c>
      <c r="D32" s="1" t="s">
        <v>100</v>
      </c>
      <c r="E32" s="1" t="s">
        <v>101</v>
      </c>
      <c r="F32" s="1" t="s">
        <v>43</v>
      </c>
      <c r="G32" s="4">
        <v>44713</v>
      </c>
      <c r="H32" s="7">
        <f ca="1">YEAR(TODAY()) - YEAR(G32)</f>
        <v>3</v>
      </c>
      <c r="I32" s="1">
        <v>1999</v>
      </c>
      <c r="J32" s="1">
        <f ca="1">YEAR(TODAY()) - I32</f>
        <v>26</v>
      </c>
      <c r="K32" s="1" t="s">
        <v>30</v>
      </c>
      <c r="L32" s="1" t="s">
        <v>15</v>
      </c>
      <c r="M32" s="1" t="s">
        <v>24</v>
      </c>
      <c r="N32" s="1">
        <v>9800</v>
      </c>
      <c r="O32" s="1" t="s">
        <v>25</v>
      </c>
    </row>
    <row r="33" spans="1:15" ht="27.75" x14ac:dyDescent="0.4">
      <c r="A33" s="1">
        <v>32</v>
      </c>
      <c r="B33" s="1" t="s">
        <v>39</v>
      </c>
      <c r="C33" s="1" t="s">
        <v>116</v>
      </c>
      <c r="D33" s="1" t="s">
        <v>117</v>
      </c>
      <c r="E33" s="1" t="s">
        <v>118</v>
      </c>
      <c r="F33" s="1" t="s">
        <v>57</v>
      </c>
      <c r="G33" s="4">
        <v>42917</v>
      </c>
      <c r="H33" s="7">
        <f ca="1">YEAR(TODAY()) - YEAR(G33)</f>
        <v>8</v>
      </c>
      <c r="I33" s="1">
        <v>1989</v>
      </c>
      <c r="J33" s="1">
        <f ca="1">YEAR(TODAY()) - I33</f>
        <v>36</v>
      </c>
      <c r="K33" s="1" t="s">
        <v>14</v>
      </c>
      <c r="L33" s="1" t="s">
        <v>31</v>
      </c>
      <c r="M33" s="1" t="s">
        <v>48</v>
      </c>
      <c r="N33" s="1">
        <v>18000</v>
      </c>
      <c r="O33" s="1" t="s">
        <v>32</v>
      </c>
    </row>
    <row r="34" spans="1:15" ht="27.75" x14ac:dyDescent="0.4">
      <c r="A34" s="1">
        <v>33</v>
      </c>
      <c r="B34" s="1" t="s">
        <v>39</v>
      </c>
      <c r="C34" s="1" t="s">
        <v>133</v>
      </c>
      <c r="D34" s="1" t="s">
        <v>134</v>
      </c>
      <c r="E34" s="1" t="s">
        <v>135</v>
      </c>
      <c r="F34" s="1" t="s">
        <v>43</v>
      </c>
      <c r="G34" s="4">
        <v>44621</v>
      </c>
      <c r="H34" s="7">
        <f ca="1">YEAR(TODAY()) - YEAR(G34)</f>
        <v>3</v>
      </c>
      <c r="I34" s="1">
        <v>1999</v>
      </c>
      <c r="J34" s="1">
        <f ca="1">YEAR(TODAY()) - I34</f>
        <v>26</v>
      </c>
      <c r="K34" s="1" t="s">
        <v>30</v>
      </c>
      <c r="L34" s="1" t="s">
        <v>15</v>
      </c>
      <c r="M34" s="1" t="s">
        <v>24</v>
      </c>
      <c r="N34" s="1">
        <v>9900</v>
      </c>
      <c r="O34" s="1" t="s">
        <v>25</v>
      </c>
    </row>
    <row r="35" spans="1:15" ht="27.75" x14ac:dyDescent="0.4">
      <c r="A35" s="1">
        <v>34</v>
      </c>
      <c r="B35" s="1" t="s">
        <v>39</v>
      </c>
      <c r="C35" s="1" t="s">
        <v>146</v>
      </c>
      <c r="D35" s="1" t="s">
        <v>147</v>
      </c>
      <c r="E35" s="1" t="s">
        <v>42</v>
      </c>
      <c r="F35" s="1" t="s">
        <v>57</v>
      </c>
      <c r="G35" s="4">
        <v>42309</v>
      </c>
      <c r="H35" s="7">
        <f ca="1">YEAR(TODAY()) - YEAR(G35)</f>
        <v>10</v>
      </c>
      <c r="I35" s="1">
        <v>1985</v>
      </c>
      <c r="J35" s="1">
        <f ca="1">YEAR(TODAY()) - I35</f>
        <v>40</v>
      </c>
      <c r="K35" s="1" t="s">
        <v>14</v>
      </c>
      <c r="L35" s="1" t="s">
        <v>31</v>
      </c>
      <c r="M35" s="1" t="s">
        <v>53</v>
      </c>
      <c r="N35" s="1">
        <v>22500</v>
      </c>
      <c r="O35" s="1" t="s">
        <v>25</v>
      </c>
    </row>
    <row r="36" spans="1:15" ht="27.75" x14ac:dyDescent="0.4">
      <c r="A36" s="1">
        <v>35</v>
      </c>
      <c r="B36" s="1" t="s">
        <v>39</v>
      </c>
      <c r="C36" s="1" t="s">
        <v>156</v>
      </c>
      <c r="D36" s="1" t="s">
        <v>157</v>
      </c>
      <c r="E36" s="1" t="s">
        <v>64</v>
      </c>
      <c r="F36" s="1" t="s">
        <v>43</v>
      </c>
      <c r="G36" s="4">
        <v>44044</v>
      </c>
      <c r="H36" s="7">
        <f ca="1">YEAR(TODAY()) - YEAR(G36)</f>
        <v>5</v>
      </c>
      <c r="I36" s="1">
        <v>1995</v>
      </c>
      <c r="J36" s="1">
        <f ca="1">YEAR(TODAY()) - I36</f>
        <v>30</v>
      </c>
      <c r="K36" s="1" t="s">
        <v>14</v>
      </c>
      <c r="L36" s="1" t="s">
        <v>15</v>
      </c>
      <c r="M36" s="1" t="s">
        <v>24</v>
      </c>
      <c r="N36" s="1">
        <v>10200</v>
      </c>
      <c r="O36" s="1" t="s">
        <v>25</v>
      </c>
    </row>
    <row r="37" spans="1:15" ht="27.75" x14ac:dyDescent="0.4">
      <c r="A37" s="1">
        <v>36</v>
      </c>
      <c r="B37" s="1" t="s">
        <v>39</v>
      </c>
      <c r="C37" s="1" t="s">
        <v>165</v>
      </c>
      <c r="D37" s="1" t="s">
        <v>166</v>
      </c>
      <c r="E37" s="1" t="s">
        <v>110</v>
      </c>
      <c r="F37" s="1" t="s">
        <v>43</v>
      </c>
      <c r="G37" s="4">
        <v>44287</v>
      </c>
      <c r="H37" s="7">
        <f ca="1">YEAR(TODAY()) - YEAR(G37)</f>
        <v>4</v>
      </c>
      <c r="I37" s="1">
        <v>1997</v>
      </c>
      <c r="J37" s="1">
        <f ca="1">YEAR(TODAY()) - I37</f>
        <v>28</v>
      </c>
      <c r="K37" s="1" t="s">
        <v>30</v>
      </c>
      <c r="L37" s="1" t="s">
        <v>15</v>
      </c>
      <c r="M37" s="1" t="s">
        <v>24</v>
      </c>
      <c r="N37" s="1">
        <v>10100</v>
      </c>
      <c r="O37" s="1" t="s">
        <v>25</v>
      </c>
    </row>
    <row r="38" spans="1:15" ht="27.75" x14ac:dyDescent="0.4">
      <c r="A38" s="1">
        <v>37</v>
      </c>
      <c r="B38" s="1" t="s">
        <v>39</v>
      </c>
      <c r="C38" s="1" t="s">
        <v>185</v>
      </c>
      <c r="D38" s="1" t="s">
        <v>186</v>
      </c>
      <c r="E38" s="1" t="s">
        <v>187</v>
      </c>
      <c r="F38" s="1" t="s">
        <v>57</v>
      </c>
      <c r="G38" s="4">
        <v>42767</v>
      </c>
      <c r="H38" s="7">
        <f ca="1">YEAR(TODAY()) - YEAR(G38)</f>
        <v>8</v>
      </c>
      <c r="I38" s="1">
        <v>1989</v>
      </c>
      <c r="J38" s="1">
        <f ca="1">YEAR(TODAY()) - I38</f>
        <v>36</v>
      </c>
      <c r="K38" s="1" t="s">
        <v>30</v>
      </c>
      <c r="L38" s="1" t="s">
        <v>15</v>
      </c>
      <c r="M38" s="1" t="s">
        <v>48</v>
      </c>
      <c r="N38" s="1">
        <v>18500</v>
      </c>
      <c r="O38" s="1" t="s">
        <v>25</v>
      </c>
    </row>
    <row r="39" spans="1:15" ht="27.75" x14ac:dyDescent="0.4">
      <c r="A39" s="1">
        <v>38</v>
      </c>
      <c r="B39" s="1" t="s">
        <v>39</v>
      </c>
      <c r="C39" s="1" t="s">
        <v>206</v>
      </c>
      <c r="D39" s="1" t="s">
        <v>207</v>
      </c>
      <c r="E39" s="1" t="s">
        <v>187</v>
      </c>
      <c r="F39" s="1" t="s">
        <v>43</v>
      </c>
      <c r="G39" s="4">
        <v>44652</v>
      </c>
      <c r="H39" s="7">
        <f ca="1">YEAR(TODAY()) - YEAR(G39)</f>
        <v>3</v>
      </c>
      <c r="I39" s="1">
        <v>1999</v>
      </c>
      <c r="J39" s="1">
        <f ca="1">YEAR(TODAY()) - I39</f>
        <v>26</v>
      </c>
      <c r="K39" s="1" t="s">
        <v>14</v>
      </c>
      <c r="L39" s="1" t="s">
        <v>15</v>
      </c>
      <c r="M39" s="1" t="s">
        <v>24</v>
      </c>
      <c r="N39" s="1">
        <v>9900</v>
      </c>
      <c r="O39" s="1" t="s">
        <v>208</v>
      </c>
    </row>
    <row r="40" spans="1:15" x14ac:dyDescent="0.4">
      <c r="A40" s="1">
        <v>39</v>
      </c>
      <c r="B40" s="1" t="s">
        <v>33</v>
      </c>
      <c r="C40" s="1" t="s">
        <v>34</v>
      </c>
      <c r="D40" s="1" t="s">
        <v>35</v>
      </c>
      <c r="E40" s="1" t="s">
        <v>36</v>
      </c>
      <c r="F40" s="1" t="s">
        <v>37</v>
      </c>
      <c r="G40" s="4">
        <v>43424</v>
      </c>
      <c r="H40" s="7">
        <f ca="1">YEAR(TODAY()) - YEAR(G40)</f>
        <v>7</v>
      </c>
      <c r="I40" s="1">
        <v>1992</v>
      </c>
      <c r="J40" s="1">
        <f ca="1">YEAR(TODAY()) - I40</f>
        <v>33</v>
      </c>
      <c r="K40" s="1" t="s">
        <v>14</v>
      </c>
      <c r="L40" s="1" t="s">
        <v>15</v>
      </c>
      <c r="M40" s="1" t="s">
        <v>38</v>
      </c>
      <c r="N40" s="1">
        <v>13000</v>
      </c>
      <c r="O40" s="1" t="s">
        <v>25</v>
      </c>
    </row>
    <row r="41" spans="1:15" x14ac:dyDescent="0.4">
      <c r="A41" s="1">
        <v>40</v>
      </c>
      <c r="B41" s="1" t="s">
        <v>33</v>
      </c>
      <c r="C41" s="1" t="s">
        <v>49</v>
      </c>
      <c r="D41" s="1" t="s">
        <v>50</v>
      </c>
      <c r="E41" s="1" t="s">
        <v>51</v>
      </c>
      <c r="F41" s="1" t="s">
        <v>52</v>
      </c>
      <c r="G41" s="4">
        <v>42625</v>
      </c>
      <c r="H41" s="7">
        <f ca="1">YEAR(TODAY()) - YEAR(G41)</f>
        <v>9</v>
      </c>
      <c r="I41" s="1">
        <v>1987</v>
      </c>
      <c r="J41" s="1">
        <f ca="1">YEAR(TODAY()) - I41</f>
        <v>38</v>
      </c>
      <c r="K41" s="1" t="s">
        <v>14</v>
      </c>
      <c r="L41" s="1" t="s">
        <v>31</v>
      </c>
      <c r="M41" s="1" t="s">
        <v>53</v>
      </c>
      <c r="N41" s="1">
        <v>22000</v>
      </c>
      <c r="O41" s="1" t="s">
        <v>25</v>
      </c>
    </row>
    <row r="42" spans="1:15" x14ac:dyDescent="0.4">
      <c r="A42" s="1">
        <v>41</v>
      </c>
      <c r="B42" s="1" t="s">
        <v>33</v>
      </c>
      <c r="C42" s="1" t="s">
        <v>62</v>
      </c>
      <c r="D42" s="1" t="s">
        <v>63</v>
      </c>
      <c r="E42" s="1" t="s">
        <v>64</v>
      </c>
      <c r="F42" s="1" t="s">
        <v>65</v>
      </c>
      <c r="G42" s="4">
        <v>41870</v>
      </c>
      <c r="H42" s="7">
        <f ca="1">YEAR(TODAY()) - YEAR(G42)</f>
        <v>11</v>
      </c>
      <c r="I42" s="1">
        <v>1984</v>
      </c>
      <c r="J42" s="1">
        <f ca="1">YEAR(TODAY()) - I42</f>
        <v>41</v>
      </c>
      <c r="K42" s="1" t="s">
        <v>14</v>
      </c>
      <c r="L42" s="1" t="s">
        <v>31</v>
      </c>
      <c r="M42" s="1" t="s">
        <v>22</v>
      </c>
      <c r="N42" s="1">
        <v>30000</v>
      </c>
      <c r="O42" s="1" t="s">
        <v>16</v>
      </c>
    </row>
    <row r="43" spans="1:15" x14ac:dyDescent="0.4">
      <c r="A43" s="1">
        <v>42</v>
      </c>
      <c r="B43" s="1" t="s">
        <v>33</v>
      </c>
      <c r="C43" s="1" t="s">
        <v>77</v>
      </c>
      <c r="D43" s="1" t="s">
        <v>78</v>
      </c>
      <c r="E43" s="1" t="s">
        <v>79</v>
      </c>
      <c r="F43" s="1" t="s">
        <v>80</v>
      </c>
      <c r="G43" s="4">
        <v>42906</v>
      </c>
      <c r="H43" s="7">
        <f ca="1">YEAR(TODAY()) - YEAR(G43)</f>
        <v>8</v>
      </c>
      <c r="I43" s="1">
        <v>1989</v>
      </c>
      <c r="J43" s="1">
        <f ca="1">YEAR(TODAY()) - I43</f>
        <v>36</v>
      </c>
      <c r="K43" s="1" t="s">
        <v>14</v>
      </c>
      <c r="L43" s="1" t="s">
        <v>15</v>
      </c>
      <c r="M43" s="1" t="s">
        <v>48</v>
      </c>
      <c r="N43" s="1">
        <v>17000</v>
      </c>
      <c r="O43" s="1" t="s">
        <v>25</v>
      </c>
    </row>
    <row r="44" spans="1:15" x14ac:dyDescent="0.4">
      <c r="A44" s="1">
        <v>43</v>
      </c>
      <c r="B44" s="1" t="s">
        <v>33</v>
      </c>
      <c r="C44" s="1" t="s">
        <v>88</v>
      </c>
      <c r="D44" s="1" t="s">
        <v>89</v>
      </c>
      <c r="E44" s="1" t="s">
        <v>90</v>
      </c>
      <c r="F44" s="1" t="s">
        <v>91</v>
      </c>
      <c r="G44" s="4">
        <v>44013</v>
      </c>
      <c r="H44" s="7">
        <f ca="1">YEAR(TODAY()) - YEAR(G44)</f>
        <v>5</v>
      </c>
      <c r="I44" s="1">
        <v>1996</v>
      </c>
      <c r="J44" s="1">
        <f ca="1">YEAR(TODAY()) - I44</f>
        <v>29</v>
      </c>
      <c r="K44" s="1" t="s">
        <v>30</v>
      </c>
      <c r="L44" s="1" t="s">
        <v>15</v>
      </c>
      <c r="M44" s="1" t="s">
        <v>24</v>
      </c>
      <c r="N44" s="1">
        <v>10800</v>
      </c>
      <c r="O44" s="1" t="s">
        <v>25</v>
      </c>
    </row>
    <row r="45" spans="1:15" x14ac:dyDescent="0.4">
      <c r="A45" s="1">
        <v>44</v>
      </c>
      <c r="B45" s="1" t="s">
        <v>33</v>
      </c>
      <c r="C45" s="1" t="s">
        <v>96</v>
      </c>
      <c r="D45" s="1" t="s">
        <v>97</v>
      </c>
      <c r="E45" s="1" t="s">
        <v>98</v>
      </c>
      <c r="F45" s="1" t="s">
        <v>37</v>
      </c>
      <c r="G45" s="4">
        <v>44256</v>
      </c>
      <c r="H45" s="7">
        <f ca="1">YEAR(TODAY()) - YEAR(G45)</f>
        <v>4</v>
      </c>
      <c r="I45" s="1">
        <v>1997</v>
      </c>
      <c r="J45" s="1">
        <f ca="1">YEAR(TODAY()) - I45</f>
        <v>28</v>
      </c>
      <c r="K45" s="1" t="s">
        <v>30</v>
      </c>
      <c r="L45" s="1" t="s">
        <v>15</v>
      </c>
      <c r="M45" s="1" t="s">
        <v>24</v>
      </c>
      <c r="N45" s="1">
        <v>10500</v>
      </c>
      <c r="O45" s="1" t="s">
        <v>25</v>
      </c>
    </row>
    <row r="46" spans="1:15" x14ac:dyDescent="0.4">
      <c r="A46" s="1">
        <v>45</v>
      </c>
      <c r="B46" s="1" t="s">
        <v>33</v>
      </c>
      <c r="C46" s="1" t="s">
        <v>105</v>
      </c>
      <c r="D46" s="1" t="s">
        <v>106</v>
      </c>
      <c r="E46" s="1" t="s">
        <v>107</v>
      </c>
      <c r="F46" s="1" t="s">
        <v>52</v>
      </c>
      <c r="G46" s="4">
        <v>42248</v>
      </c>
      <c r="H46" s="7">
        <f ca="1">YEAR(TODAY()) - YEAR(G46)</f>
        <v>10</v>
      </c>
      <c r="I46" s="1">
        <v>1985</v>
      </c>
      <c r="J46" s="1">
        <f ca="1">YEAR(TODAY()) - I46</f>
        <v>40</v>
      </c>
      <c r="K46" s="1" t="s">
        <v>30</v>
      </c>
      <c r="L46" s="1" t="s">
        <v>15</v>
      </c>
      <c r="M46" s="1" t="s">
        <v>53</v>
      </c>
      <c r="N46" s="1">
        <v>21500</v>
      </c>
      <c r="O46" s="1" t="s">
        <v>25</v>
      </c>
    </row>
    <row r="47" spans="1:15" x14ac:dyDescent="0.4">
      <c r="A47" s="1">
        <v>46</v>
      </c>
      <c r="B47" s="1" t="s">
        <v>33</v>
      </c>
      <c r="C47" s="1" t="s">
        <v>112</v>
      </c>
      <c r="D47" s="1" t="s">
        <v>113</v>
      </c>
      <c r="E47" s="1" t="s">
        <v>114</v>
      </c>
      <c r="F47" s="1" t="s">
        <v>115</v>
      </c>
      <c r="G47" s="4">
        <v>43497</v>
      </c>
      <c r="H47" s="7">
        <f ca="1">YEAR(TODAY()) - YEAR(G47)</f>
        <v>6</v>
      </c>
      <c r="I47" s="1">
        <v>1993</v>
      </c>
      <c r="J47" s="1">
        <f ca="1">YEAR(TODAY()) - I47</f>
        <v>32</v>
      </c>
      <c r="K47" s="1" t="s">
        <v>30</v>
      </c>
      <c r="L47" s="1" t="s">
        <v>15</v>
      </c>
      <c r="M47" s="1" t="s">
        <v>38</v>
      </c>
      <c r="N47" s="1">
        <v>14000</v>
      </c>
      <c r="O47" s="1" t="s">
        <v>25</v>
      </c>
    </row>
    <row r="48" spans="1:15" x14ac:dyDescent="0.4">
      <c r="A48" s="1">
        <v>47</v>
      </c>
      <c r="B48" s="1" t="s">
        <v>33</v>
      </c>
      <c r="C48" s="1" t="s">
        <v>123</v>
      </c>
      <c r="D48" s="1" t="s">
        <v>124</v>
      </c>
      <c r="E48" s="1" t="s">
        <v>125</v>
      </c>
      <c r="F48" s="1" t="s">
        <v>126</v>
      </c>
      <c r="G48" s="4">
        <v>41699</v>
      </c>
      <c r="H48" s="7">
        <f ca="1">YEAR(TODAY()) - YEAR(G48)</f>
        <v>11</v>
      </c>
      <c r="I48" s="1">
        <v>1983</v>
      </c>
      <c r="J48" s="1">
        <f ca="1">YEAR(TODAY()) - I48</f>
        <v>42</v>
      </c>
      <c r="K48" s="1" t="s">
        <v>14</v>
      </c>
      <c r="L48" s="1" t="s">
        <v>31</v>
      </c>
      <c r="M48" s="1" t="s">
        <v>22</v>
      </c>
      <c r="N48" s="1">
        <v>32000</v>
      </c>
      <c r="O48" s="1" t="s">
        <v>16</v>
      </c>
    </row>
    <row r="49" spans="1:15" x14ac:dyDescent="0.4">
      <c r="A49" s="1">
        <v>48</v>
      </c>
      <c r="B49" s="1" t="s">
        <v>33</v>
      </c>
      <c r="C49" s="1" t="s">
        <v>130</v>
      </c>
      <c r="D49" s="1" t="s">
        <v>131</v>
      </c>
      <c r="E49" s="1" t="s">
        <v>132</v>
      </c>
      <c r="F49" s="1" t="s">
        <v>37</v>
      </c>
      <c r="G49" s="4">
        <v>44440</v>
      </c>
      <c r="H49" s="7">
        <f ca="1">YEAR(TODAY()) - YEAR(G49)</f>
        <v>4</v>
      </c>
      <c r="I49" s="1">
        <v>1997</v>
      </c>
      <c r="J49" s="1">
        <f ca="1">YEAR(TODAY()) - I49</f>
        <v>28</v>
      </c>
      <c r="K49" s="1" t="s">
        <v>14</v>
      </c>
      <c r="L49" s="1" t="s">
        <v>15</v>
      </c>
      <c r="M49" s="1" t="s">
        <v>24</v>
      </c>
      <c r="N49" s="1">
        <v>10600</v>
      </c>
      <c r="O49" s="1" t="s">
        <v>25</v>
      </c>
    </row>
    <row r="50" spans="1:15" x14ac:dyDescent="0.4">
      <c r="A50" s="1">
        <v>49</v>
      </c>
      <c r="B50" s="1" t="s">
        <v>33</v>
      </c>
      <c r="C50" s="1" t="s">
        <v>139</v>
      </c>
      <c r="D50" s="1" t="s">
        <v>140</v>
      </c>
      <c r="E50" s="1" t="s">
        <v>141</v>
      </c>
      <c r="F50" s="1" t="s">
        <v>91</v>
      </c>
      <c r="G50" s="4">
        <v>43282</v>
      </c>
      <c r="H50" s="7">
        <f ca="1">YEAR(TODAY()) - YEAR(G50)</f>
        <v>7</v>
      </c>
      <c r="I50" s="1">
        <v>1992</v>
      </c>
      <c r="J50" s="1">
        <f ca="1">YEAR(TODAY()) - I50</f>
        <v>33</v>
      </c>
      <c r="K50" s="1" t="s">
        <v>30</v>
      </c>
      <c r="L50" s="1" t="s">
        <v>15</v>
      </c>
      <c r="M50" s="1" t="s">
        <v>38</v>
      </c>
      <c r="N50" s="1">
        <v>13200</v>
      </c>
      <c r="O50" s="1" t="s">
        <v>25</v>
      </c>
    </row>
    <row r="51" spans="1:15" x14ac:dyDescent="0.4">
      <c r="A51" s="1">
        <v>50</v>
      </c>
      <c r="B51" s="1" t="s">
        <v>33</v>
      </c>
      <c r="C51" s="1" t="s">
        <v>144</v>
      </c>
      <c r="D51" s="1" t="s">
        <v>145</v>
      </c>
      <c r="E51" s="1" t="s">
        <v>79</v>
      </c>
      <c r="F51" s="1" t="s">
        <v>80</v>
      </c>
      <c r="G51" s="4">
        <v>42583</v>
      </c>
      <c r="H51" s="7">
        <f ca="1">YEAR(TODAY()) - YEAR(G51)</f>
        <v>9</v>
      </c>
      <c r="I51" s="1">
        <v>1988</v>
      </c>
      <c r="J51" s="1">
        <f ca="1">YEAR(TODAY()) - I51</f>
        <v>37</v>
      </c>
      <c r="K51" s="1" t="s">
        <v>30</v>
      </c>
      <c r="L51" s="1" t="s">
        <v>15</v>
      </c>
      <c r="M51" s="1" t="s">
        <v>48</v>
      </c>
      <c r="N51" s="1">
        <v>17500</v>
      </c>
      <c r="O51" s="1" t="s">
        <v>32</v>
      </c>
    </row>
    <row r="52" spans="1:15" x14ac:dyDescent="0.4">
      <c r="A52" s="1">
        <v>51</v>
      </c>
      <c r="B52" s="1" t="s">
        <v>33</v>
      </c>
      <c r="C52" s="1" t="s">
        <v>150</v>
      </c>
      <c r="D52" s="1" t="s">
        <v>151</v>
      </c>
      <c r="E52" s="1" t="s">
        <v>51</v>
      </c>
      <c r="F52" s="1" t="s">
        <v>52</v>
      </c>
      <c r="G52" s="4">
        <v>43739</v>
      </c>
      <c r="H52" s="7">
        <f ca="1">YEAR(TODAY()) - YEAR(G52)</f>
        <v>6</v>
      </c>
      <c r="I52" s="1">
        <v>1994</v>
      </c>
      <c r="J52" s="1">
        <f ca="1">YEAR(TODAY()) - I52</f>
        <v>31</v>
      </c>
      <c r="K52" s="1" t="s">
        <v>30</v>
      </c>
      <c r="L52" s="1" t="s">
        <v>15</v>
      </c>
      <c r="M52" s="1" t="s">
        <v>38</v>
      </c>
      <c r="N52" s="1">
        <v>13800</v>
      </c>
      <c r="O52" s="1" t="s">
        <v>25</v>
      </c>
    </row>
    <row r="53" spans="1:15" x14ac:dyDescent="0.4">
      <c r="A53" s="1">
        <v>52</v>
      </c>
      <c r="B53" s="1" t="s">
        <v>33</v>
      </c>
      <c r="C53" s="1" t="s">
        <v>154</v>
      </c>
      <c r="D53" s="1" t="s">
        <v>155</v>
      </c>
      <c r="E53" s="1" t="s">
        <v>60</v>
      </c>
      <c r="F53" s="1" t="s">
        <v>115</v>
      </c>
      <c r="G53" s="4">
        <v>43221</v>
      </c>
      <c r="H53" s="7">
        <f ca="1">YEAR(TODAY()) - YEAR(G53)</f>
        <v>7</v>
      </c>
      <c r="I53" s="1">
        <v>1991</v>
      </c>
      <c r="J53" s="1">
        <f ca="1">YEAR(TODAY()) - I53</f>
        <v>34</v>
      </c>
      <c r="K53" s="1" t="s">
        <v>30</v>
      </c>
      <c r="L53" s="1" t="s">
        <v>15</v>
      </c>
      <c r="M53" s="1" t="s">
        <v>38</v>
      </c>
      <c r="N53" s="1">
        <v>13300</v>
      </c>
      <c r="O53" s="1" t="s">
        <v>32</v>
      </c>
    </row>
    <row r="54" spans="1:15" x14ac:dyDescent="0.4">
      <c r="A54" s="1">
        <v>53</v>
      </c>
      <c r="B54" s="1" t="s">
        <v>33</v>
      </c>
      <c r="C54" s="1" t="s">
        <v>160</v>
      </c>
      <c r="D54" s="1" t="s">
        <v>161</v>
      </c>
      <c r="E54" s="1" t="s">
        <v>162</v>
      </c>
      <c r="F54" s="1" t="s">
        <v>37</v>
      </c>
      <c r="G54" s="4">
        <v>43862</v>
      </c>
      <c r="H54" s="7">
        <f ca="1">YEAR(TODAY()) - YEAR(G54)</f>
        <v>5</v>
      </c>
      <c r="I54" s="1">
        <v>1996</v>
      </c>
      <c r="J54" s="1">
        <f ca="1">YEAR(TODAY()) - I54</f>
        <v>29</v>
      </c>
      <c r="K54" s="1" t="s">
        <v>14</v>
      </c>
      <c r="L54" s="1" t="s">
        <v>15</v>
      </c>
      <c r="M54" s="1" t="s">
        <v>24</v>
      </c>
      <c r="N54" s="1">
        <v>10900</v>
      </c>
      <c r="O54" s="1" t="s">
        <v>25</v>
      </c>
    </row>
    <row r="55" spans="1:15" x14ac:dyDescent="0.4">
      <c r="A55" s="1">
        <v>54</v>
      </c>
      <c r="B55" s="1" t="s">
        <v>33</v>
      </c>
      <c r="C55" s="1" t="s">
        <v>167</v>
      </c>
      <c r="D55" s="1" t="s">
        <v>168</v>
      </c>
      <c r="E55" s="1" t="s">
        <v>169</v>
      </c>
      <c r="F55" s="1" t="s">
        <v>91</v>
      </c>
      <c r="G55" s="4">
        <v>43252</v>
      </c>
      <c r="H55" s="7">
        <f ca="1">YEAR(TODAY()) - YEAR(G55)</f>
        <v>7</v>
      </c>
      <c r="I55" s="1">
        <v>1991</v>
      </c>
      <c r="J55" s="1">
        <f ca="1">YEAR(TODAY()) - I55</f>
        <v>34</v>
      </c>
      <c r="K55" s="1" t="s">
        <v>14</v>
      </c>
      <c r="L55" s="1" t="s">
        <v>15</v>
      </c>
      <c r="M55" s="1" t="s">
        <v>38</v>
      </c>
      <c r="N55" s="1">
        <v>13700</v>
      </c>
      <c r="O55" s="1" t="s">
        <v>25</v>
      </c>
    </row>
    <row r="56" spans="1:15" x14ac:dyDescent="0.4">
      <c r="A56" s="1">
        <v>55</v>
      </c>
      <c r="B56" s="1" t="s">
        <v>33</v>
      </c>
      <c r="C56" s="1" t="s">
        <v>173</v>
      </c>
      <c r="D56" s="1" t="s">
        <v>174</v>
      </c>
      <c r="E56" s="1" t="s">
        <v>175</v>
      </c>
      <c r="F56" s="1" t="s">
        <v>80</v>
      </c>
      <c r="G56" s="4">
        <v>42614</v>
      </c>
      <c r="H56" s="7">
        <f ca="1">YEAR(TODAY()) - YEAR(G56)</f>
        <v>9</v>
      </c>
      <c r="I56" s="1">
        <v>1988</v>
      </c>
      <c r="J56" s="1">
        <f ca="1">YEAR(TODAY()) - I56</f>
        <v>37</v>
      </c>
      <c r="K56" s="1" t="s">
        <v>14</v>
      </c>
      <c r="L56" s="1" t="s">
        <v>15</v>
      </c>
      <c r="M56" s="1" t="s">
        <v>48</v>
      </c>
      <c r="N56" s="1">
        <v>17600</v>
      </c>
      <c r="O56" s="1" t="s">
        <v>25</v>
      </c>
    </row>
    <row r="57" spans="1:15" x14ac:dyDescent="0.4">
      <c r="A57" s="1">
        <v>56</v>
      </c>
      <c r="B57" s="1" t="s">
        <v>33</v>
      </c>
      <c r="C57" s="1" t="s">
        <v>179</v>
      </c>
      <c r="D57" s="1" t="s">
        <v>180</v>
      </c>
      <c r="E57" s="1" t="s">
        <v>181</v>
      </c>
      <c r="F57" s="1" t="s">
        <v>52</v>
      </c>
      <c r="G57" s="4">
        <v>41944</v>
      </c>
      <c r="H57" s="7">
        <f ca="1">YEAR(TODAY()) - YEAR(G57)</f>
        <v>11</v>
      </c>
      <c r="I57" s="1">
        <v>1984</v>
      </c>
      <c r="J57" s="1">
        <f ca="1">YEAR(TODAY()) - I57</f>
        <v>41</v>
      </c>
      <c r="K57" s="1" t="s">
        <v>14</v>
      </c>
      <c r="L57" s="1" t="s">
        <v>31</v>
      </c>
      <c r="M57" s="1" t="s">
        <v>22</v>
      </c>
      <c r="N57" s="1">
        <v>31000</v>
      </c>
      <c r="O57" s="1" t="s">
        <v>25</v>
      </c>
    </row>
    <row r="58" spans="1:15" x14ac:dyDescent="0.4">
      <c r="A58" s="1">
        <v>57</v>
      </c>
      <c r="B58" s="1" t="s">
        <v>33</v>
      </c>
      <c r="C58" s="1" t="s">
        <v>190</v>
      </c>
      <c r="D58" s="1" t="s">
        <v>191</v>
      </c>
      <c r="E58" s="1" t="s">
        <v>11</v>
      </c>
      <c r="F58" s="1" t="s">
        <v>115</v>
      </c>
      <c r="G58" s="4">
        <v>43647</v>
      </c>
      <c r="H58" s="7">
        <f ca="1">YEAR(TODAY()) - YEAR(G58)</f>
        <v>6</v>
      </c>
      <c r="I58" s="1">
        <v>1993</v>
      </c>
      <c r="J58" s="1">
        <f ca="1">YEAR(TODAY()) - I58</f>
        <v>32</v>
      </c>
      <c r="K58" s="1" t="s">
        <v>14</v>
      </c>
      <c r="L58" s="1" t="s">
        <v>15</v>
      </c>
      <c r="M58" s="1" t="s">
        <v>38</v>
      </c>
      <c r="N58" s="1">
        <v>13900</v>
      </c>
      <c r="O58" s="1" t="s">
        <v>32</v>
      </c>
    </row>
    <row r="59" spans="1:15" x14ac:dyDescent="0.4">
      <c r="A59" s="1">
        <v>58</v>
      </c>
      <c r="B59" s="1" t="s">
        <v>33</v>
      </c>
      <c r="C59" s="1" t="s">
        <v>194</v>
      </c>
      <c r="D59" s="1" t="s">
        <v>195</v>
      </c>
      <c r="E59" s="1" t="s">
        <v>169</v>
      </c>
      <c r="F59" s="1" t="s">
        <v>126</v>
      </c>
      <c r="G59" s="4">
        <v>42309</v>
      </c>
      <c r="H59" s="7">
        <f ca="1">YEAR(TODAY()) - YEAR(G59)</f>
        <v>10</v>
      </c>
      <c r="I59" s="1">
        <v>1985</v>
      </c>
      <c r="J59" s="1">
        <f ca="1">YEAR(TODAY()) - I59</f>
        <v>40</v>
      </c>
      <c r="K59" s="1" t="s">
        <v>14</v>
      </c>
      <c r="L59" s="1" t="s">
        <v>31</v>
      </c>
      <c r="M59" s="1" t="s">
        <v>53</v>
      </c>
      <c r="N59" s="1">
        <v>22000</v>
      </c>
      <c r="O59" s="1" t="s">
        <v>16</v>
      </c>
    </row>
    <row r="60" spans="1:15" x14ac:dyDescent="0.4">
      <c r="A60" s="1">
        <v>59</v>
      </c>
      <c r="B60" s="1" t="s">
        <v>33</v>
      </c>
      <c r="C60" s="1" t="s">
        <v>198</v>
      </c>
      <c r="D60" s="1" t="s">
        <v>199</v>
      </c>
      <c r="E60" s="1" t="s">
        <v>175</v>
      </c>
      <c r="F60" s="1" t="s">
        <v>91</v>
      </c>
      <c r="G60" s="4">
        <v>44197</v>
      </c>
      <c r="H60" s="7">
        <f ca="1">YEAR(TODAY()) - YEAR(G60)</f>
        <v>4</v>
      </c>
      <c r="I60" s="1">
        <v>1997</v>
      </c>
      <c r="J60" s="1">
        <f ca="1">YEAR(TODAY()) - I60</f>
        <v>28</v>
      </c>
      <c r="K60" s="1" t="s">
        <v>14</v>
      </c>
      <c r="L60" s="1" t="s">
        <v>15</v>
      </c>
      <c r="M60" s="1" t="s">
        <v>24</v>
      </c>
      <c r="N60" s="1">
        <v>10700</v>
      </c>
      <c r="O60" s="1" t="s">
        <v>25</v>
      </c>
    </row>
    <row r="61" spans="1:15" x14ac:dyDescent="0.4">
      <c r="A61" s="1">
        <v>60</v>
      </c>
      <c r="B61" s="1" t="s">
        <v>33</v>
      </c>
      <c r="C61" s="1" t="s">
        <v>202</v>
      </c>
      <c r="D61" s="1" t="s">
        <v>203</v>
      </c>
      <c r="E61" s="1" t="s">
        <v>181</v>
      </c>
      <c r="F61" s="1" t="s">
        <v>80</v>
      </c>
      <c r="G61" s="4">
        <v>43221</v>
      </c>
      <c r="H61" s="7">
        <f ca="1">YEAR(TODAY()) - YEAR(G61)</f>
        <v>7</v>
      </c>
      <c r="I61" s="1">
        <v>1991</v>
      </c>
      <c r="J61" s="1">
        <f ca="1">YEAR(TODAY()) - I61</f>
        <v>34</v>
      </c>
      <c r="K61" s="1" t="s">
        <v>14</v>
      </c>
      <c r="L61" s="1" t="s">
        <v>15</v>
      </c>
      <c r="M61" s="1" t="s">
        <v>38</v>
      </c>
      <c r="N61" s="1">
        <v>14200</v>
      </c>
      <c r="O61" s="1" t="s">
        <v>25</v>
      </c>
    </row>
  </sheetData>
  <sortState xmlns:xlrd2="http://schemas.microsoft.com/office/spreadsheetml/2017/richdata2" ref="A1:Q61">
    <sortCondition ref="B1:B61"/>
  </sortState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8726-A2D8-4779-A0A0-7755EA7067CA}">
  <dimension ref="A1:L61"/>
  <sheetViews>
    <sheetView workbookViewId="0">
      <selection activeCell="M6" sqref="M6"/>
    </sheetView>
  </sheetViews>
  <sheetFormatPr defaultRowHeight="13.9" x14ac:dyDescent="0.4"/>
  <cols>
    <col min="1" max="1" width="10.796875" bestFit="1" customWidth="1"/>
    <col min="3" max="3" width="10.3984375" bestFit="1" customWidth="1"/>
    <col min="4" max="7" width="7.1328125" bestFit="1" customWidth="1"/>
    <col min="8" max="8" width="10.3984375" bestFit="1" customWidth="1"/>
    <col min="9" max="11" width="11" bestFit="1" customWidth="1"/>
    <col min="12" max="12" width="7.1328125" bestFit="1" customWidth="1"/>
  </cols>
  <sheetData>
    <row r="1" spans="1:12" x14ac:dyDescent="0.4">
      <c r="A1" t="s">
        <v>2</v>
      </c>
      <c r="B1" t="s">
        <v>0</v>
      </c>
      <c r="C1" t="s">
        <v>8</v>
      </c>
      <c r="D1" t="s">
        <v>5</v>
      </c>
      <c r="E1" t="s">
        <v>6</v>
      </c>
      <c r="F1" t="s">
        <v>7</v>
      </c>
      <c r="G1" t="s">
        <v>20</v>
      </c>
      <c r="H1" t="s">
        <v>9</v>
      </c>
      <c r="I1" t="s">
        <v>21</v>
      </c>
      <c r="J1" t="s">
        <v>211</v>
      </c>
      <c r="K1" t="s">
        <v>212</v>
      </c>
      <c r="L1" t="s">
        <v>226</v>
      </c>
    </row>
    <row r="2" spans="1:12" x14ac:dyDescent="0.4">
      <c r="A2" s="11" t="s">
        <v>12</v>
      </c>
      <c r="B2" s="11" t="s">
        <v>10</v>
      </c>
      <c r="C2">
        <v>5</v>
      </c>
      <c r="D2">
        <v>28</v>
      </c>
      <c r="E2" s="11" t="s">
        <v>14</v>
      </c>
      <c r="F2" s="11" t="s">
        <v>15</v>
      </c>
      <c r="G2" s="11" t="s">
        <v>24</v>
      </c>
      <c r="H2">
        <v>11000</v>
      </c>
      <c r="I2" s="11" t="s">
        <v>25</v>
      </c>
      <c r="J2" t="s">
        <v>213</v>
      </c>
      <c r="K2" t="s">
        <v>214</v>
      </c>
      <c r="L2">
        <v>154000</v>
      </c>
    </row>
    <row r="3" spans="1:12" x14ac:dyDescent="0.4">
      <c r="A3" s="11" t="s">
        <v>12</v>
      </c>
      <c r="B3" s="11" t="s">
        <v>27</v>
      </c>
      <c r="C3">
        <v>6</v>
      </c>
      <c r="D3">
        <v>30</v>
      </c>
      <c r="E3" s="11" t="s">
        <v>14</v>
      </c>
      <c r="F3" s="11" t="s">
        <v>31</v>
      </c>
      <c r="G3" s="11" t="s">
        <v>24</v>
      </c>
      <c r="H3">
        <v>11500</v>
      </c>
      <c r="I3" s="11" t="s">
        <v>32</v>
      </c>
      <c r="J3" t="s">
        <v>215</v>
      </c>
      <c r="K3" t="s">
        <v>216</v>
      </c>
      <c r="L3">
        <v>161000</v>
      </c>
    </row>
    <row r="4" spans="1:12" x14ac:dyDescent="0.4">
      <c r="A4" s="11" t="s">
        <v>12</v>
      </c>
      <c r="B4" s="11" t="s">
        <v>45</v>
      </c>
      <c r="C4">
        <v>8</v>
      </c>
      <c r="D4">
        <v>36</v>
      </c>
      <c r="E4" s="11" t="s">
        <v>14</v>
      </c>
      <c r="F4" s="11" t="s">
        <v>31</v>
      </c>
      <c r="G4" s="11" t="s">
        <v>48</v>
      </c>
      <c r="H4">
        <v>16000</v>
      </c>
      <c r="I4" s="11" t="s">
        <v>16</v>
      </c>
      <c r="J4" t="s">
        <v>215</v>
      </c>
      <c r="K4" t="s">
        <v>217</v>
      </c>
      <c r="L4">
        <v>224000</v>
      </c>
    </row>
    <row r="5" spans="1:12" x14ac:dyDescent="0.4">
      <c r="A5" s="11" t="s">
        <v>12</v>
      </c>
      <c r="B5" s="11" t="s">
        <v>59</v>
      </c>
      <c r="C5">
        <v>3</v>
      </c>
      <c r="D5">
        <v>28</v>
      </c>
      <c r="E5" s="11" t="s">
        <v>14</v>
      </c>
      <c r="F5" s="11" t="s">
        <v>15</v>
      </c>
      <c r="G5" s="11" t="s">
        <v>38</v>
      </c>
      <c r="H5">
        <v>12500</v>
      </c>
      <c r="I5" s="11" t="s">
        <v>25</v>
      </c>
      <c r="J5" t="s">
        <v>218</v>
      </c>
      <c r="K5" t="s">
        <v>214</v>
      </c>
      <c r="L5">
        <v>175000</v>
      </c>
    </row>
    <row r="6" spans="1:12" x14ac:dyDescent="0.4">
      <c r="A6" s="11" t="s">
        <v>12</v>
      </c>
      <c r="B6" s="11" t="s">
        <v>70</v>
      </c>
      <c r="C6">
        <v>6</v>
      </c>
      <c r="D6">
        <v>31</v>
      </c>
      <c r="E6" s="11" t="s">
        <v>14</v>
      </c>
      <c r="F6" s="11" t="s">
        <v>15</v>
      </c>
      <c r="G6" s="11" t="s">
        <v>24</v>
      </c>
      <c r="H6">
        <v>11200</v>
      </c>
      <c r="I6" s="11" t="s">
        <v>25</v>
      </c>
      <c r="J6" t="s">
        <v>215</v>
      </c>
      <c r="K6" t="s">
        <v>216</v>
      </c>
      <c r="L6">
        <v>156800</v>
      </c>
    </row>
    <row r="7" spans="1:12" x14ac:dyDescent="0.4">
      <c r="A7" s="11" t="s">
        <v>12</v>
      </c>
      <c r="B7" s="11" t="s">
        <v>74</v>
      </c>
      <c r="C7">
        <v>7</v>
      </c>
      <c r="D7">
        <v>34</v>
      </c>
      <c r="E7" s="11" t="s">
        <v>30</v>
      </c>
      <c r="F7" s="11" t="s">
        <v>31</v>
      </c>
      <c r="G7" s="11" t="s">
        <v>38</v>
      </c>
      <c r="H7">
        <v>13500</v>
      </c>
      <c r="I7" s="11" t="s">
        <v>32</v>
      </c>
      <c r="J7" t="s">
        <v>215</v>
      </c>
      <c r="K7" t="s">
        <v>216</v>
      </c>
      <c r="L7">
        <v>189000</v>
      </c>
    </row>
    <row r="8" spans="1:12" x14ac:dyDescent="0.4">
      <c r="A8" s="11" t="s">
        <v>12</v>
      </c>
      <c r="B8" s="11" t="s">
        <v>85</v>
      </c>
      <c r="C8">
        <v>10</v>
      </c>
      <c r="D8">
        <v>40</v>
      </c>
      <c r="E8" s="11" t="s">
        <v>14</v>
      </c>
      <c r="F8" s="11" t="s">
        <v>31</v>
      </c>
      <c r="G8" s="11" t="s">
        <v>53</v>
      </c>
      <c r="H8">
        <v>23000</v>
      </c>
      <c r="I8" s="11" t="s">
        <v>16</v>
      </c>
      <c r="J8" t="s">
        <v>215</v>
      </c>
      <c r="K8" t="s">
        <v>217</v>
      </c>
      <c r="L8">
        <v>322000</v>
      </c>
    </row>
    <row r="9" spans="1:12" x14ac:dyDescent="0.4">
      <c r="A9" s="11" t="s">
        <v>12</v>
      </c>
      <c r="B9" s="11" t="s">
        <v>93</v>
      </c>
      <c r="C9">
        <v>8</v>
      </c>
      <c r="D9">
        <v>35</v>
      </c>
      <c r="E9" s="11" t="s">
        <v>14</v>
      </c>
      <c r="F9" s="11" t="s">
        <v>15</v>
      </c>
      <c r="G9" s="11" t="s">
        <v>48</v>
      </c>
      <c r="H9">
        <v>16500</v>
      </c>
      <c r="I9" s="11" t="s">
        <v>32</v>
      </c>
      <c r="J9" t="s">
        <v>215</v>
      </c>
      <c r="K9" t="s">
        <v>216</v>
      </c>
      <c r="L9">
        <v>231000</v>
      </c>
    </row>
    <row r="10" spans="1:12" x14ac:dyDescent="0.4">
      <c r="A10" s="11" t="s">
        <v>12</v>
      </c>
      <c r="B10" s="11" t="s">
        <v>103</v>
      </c>
      <c r="C10">
        <v>11</v>
      </c>
      <c r="D10">
        <v>42</v>
      </c>
      <c r="E10" s="11" t="s">
        <v>14</v>
      </c>
      <c r="F10" s="11" t="s">
        <v>224</v>
      </c>
      <c r="G10" s="11" t="s">
        <v>22</v>
      </c>
      <c r="H10">
        <v>31000</v>
      </c>
      <c r="I10" s="11" t="s">
        <v>16</v>
      </c>
      <c r="J10" t="s">
        <v>219</v>
      </c>
      <c r="K10" t="s">
        <v>220</v>
      </c>
      <c r="L10">
        <v>434000</v>
      </c>
    </row>
    <row r="11" spans="1:12" x14ac:dyDescent="0.4">
      <c r="A11" s="11" t="s">
        <v>12</v>
      </c>
      <c r="B11" s="11" t="s">
        <v>109</v>
      </c>
      <c r="C11">
        <v>7</v>
      </c>
      <c r="D11">
        <v>34</v>
      </c>
      <c r="E11" s="11" t="s">
        <v>14</v>
      </c>
      <c r="F11" s="11" t="s">
        <v>31</v>
      </c>
      <c r="G11" s="11" t="s">
        <v>48</v>
      </c>
      <c r="H11">
        <v>17500</v>
      </c>
      <c r="I11" s="11" t="s">
        <v>32</v>
      </c>
      <c r="J11" t="s">
        <v>215</v>
      </c>
      <c r="K11" t="s">
        <v>216</v>
      </c>
      <c r="L11">
        <v>245000</v>
      </c>
    </row>
    <row r="12" spans="1:12" x14ac:dyDescent="0.4">
      <c r="A12" s="11" t="s">
        <v>12</v>
      </c>
      <c r="B12" s="11" t="s">
        <v>120</v>
      </c>
      <c r="C12">
        <v>9</v>
      </c>
      <c r="D12">
        <v>38</v>
      </c>
      <c r="E12" s="11" t="s">
        <v>14</v>
      </c>
      <c r="F12" s="11" t="s">
        <v>31</v>
      </c>
      <c r="G12" s="11" t="s">
        <v>53</v>
      </c>
      <c r="H12">
        <v>24000</v>
      </c>
      <c r="I12" s="11" t="s">
        <v>25</v>
      </c>
      <c r="J12" t="s">
        <v>215</v>
      </c>
      <c r="K12" t="s">
        <v>217</v>
      </c>
      <c r="L12">
        <v>336000</v>
      </c>
    </row>
    <row r="13" spans="1:12" x14ac:dyDescent="0.4">
      <c r="A13" s="11" t="s">
        <v>12</v>
      </c>
      <c r="B13" s="11" t="s">
        <v>128</v>
      </c>
      <c r="C13">
        <v>5</v>
      </c>
      <c r="D13">
        <v>29</v>
      </c>
      <c r="E13" s="11" t="s">
        <v>30</v>
      </c>
      <c r="F13" s="11" t="s">
        <v>15</v>
      </c>
      <c r="G13" s="11" t="s">
        <v>24</v>
      </c>
      <c r="H13">
        <v>10900</v>
      </c>
      <c r="I13" s="11" t="s">
        <v>25</v>
      </c>
      <c r="J13" t="s">
        <v>213</v>
      </c>
      <c r="K13" t="s">
        <v>214</v>
      </c>
      <c r="L13">
        <v>152600</v>
      </c>
    </row>
    <row r="14" spans="1:12" x14ac:dyDescent="0.4">
      <c r="A14" s="11" t="s">
        <v>12</v>
      </c>
      <c r="B14" s="11" t="s">
        <v>137</v>
      </c>
      <c r="C14">
        <v>6</v>
      </c>
      <c r="D14">
        <v>31</v>
      </c>
      <c r="E14" s="11" t="s">
        <v>14</v>
      </c>
      <c r="F14" s="11" t="s">
        <v>15</v>
      </c>
      <c r="G14" s="11" t="s">
        <v>38</v>
      </c>
      <c r="H14">
        <v>12800</v>
      </c>
      <c r="I14" s="11" t="s">
        <v>32</v>
      </c>
      <c r="J14" t="s">
        <v>215</v>
      </c>
      <c r="K14" t="s">
        <v>216</v>
      </c>
      <c r="L14">
        <v>179200</v>
      </c>
    </row>
    <row r="15" spans="1:12" x14ac:dyDescent="0.4">
      <c r="A15" s="11" t="s">
        <v>12</v>
      </c>
      <c r="B15" s="11" t="s">
        <v>143</v>
      </c>
      <c r="C15">
        <v>8</v>
      </c>
      <c r="D15">
        <v>35</v>
      </c>
      <c r="E15" s="11" t="s">
        <v>14</v>
      </c>
      <c r="F15" s="11" t="s">
        <v>31</v>
      </c>
      <c r="G15" s="11" t="s">
        <v>48</v>
      </c>
      <c r="H15">
        <v>16800</v>
      </c>
      <c r="I15" s="11" t="s">
        <v>25</v>
      </c>
      <c r="J15" t="s">
        <v>215</v>
      </c>
      <c r="K15" t="s">
        <v>216</v>
      </c>
      <c r="L15">
        <v>235200</v>
      </c>
    </row>
    <row r="16" spans="1:12" x14ac:dyDescent="0.4">
      <c r="A16" s="11" t="s">
        <v>12</v>
      </c>
      <c r="B16" s="11" t="s">
        <v>149</v>
      </c>
      <c r="C16">
        <v>11</v>
      </c>
      <c r="D16">
        <v>42</v>
      </c>
      <c r="E16" s="11" t="s">
        <v>14</v>
      </c>
      <c r="F16" s="11" t="s">
        <v>224</v>
      </c>
      <c r="G16" s="11" t="s">
        <v>22</v>
      </c>
      <c r="H16">
        <v>30500</v>
      </c>
      <c r="I16" s="11" t="s">
        <v>16</v>
      </c>
      <c r="J16" t="s">
        <v>219</v>
      </c>
      <c r="K16" t="s">
        <v>220</v>
      </c>
      <c r="L16">
        <v>427000</v>
      </c>
    </row>
    <row r="17" spans="1:12" x14ac:dyDescent="0.4">
      <c r="A17" s="11" t="s">
        <v>12</v>
      </c>
      <c r="B17" s="11" t="s">
        <v>153</v>
      </c>
      <c r="C17">
        <v>4</v>
      </c>
      <c r="D17">
        <v>28</v>
      </c>
      <c r="E17" s="11" t="s">
        <v>14</v>
      </c>
      <c r="F17" s="11" t="s">
        <v>15</v>
      </c>
      <c r="G17" s="11" t="s">
        <v>24</v>
      </c>
      <c r="H17">
        <v>10700</v>
      </c>
      <c r="I17" s="11" t="s">
        <v>25</v>
      </c>
      <c r="J17" t="s">
        <v>213</v>
      </c>
      <c r="K17" t="s">
        <v>214</v>
      </c>
      <c r="L17">
        <v>149800</v>
      </c>
    </row>
    <row r="18" spans="1:12" x14ac:dyDescent="0.4">
      <c r="A18" s="11" t="s">
        <v>12</v>
      </c>
      <c r="B18" s="11" t="s">
        <v>159</v>
      </c>
      <c r="C18">
        <v>9</v>
      </c>
      <c r="D18">
        <v>38</v>
      </c>
      <c r="E18" s="11" t="s">
        <v>30</v>
      </c>
      <c r="F18" s="11" t="s">
        <v>31</v>
      </c>
      <c r="G18" s="11" t="s">
        <v>53</v>
      </c>
      <c r="H18">
        <v>23500</v>
      </c>
      <c r="I18" s="11" t="s">
        <v>32</v>
      </c>
      <c r="J18" t="s">
        <v>215</v>
      </c>
      <c r="K18" t="s">
        <v>217</v>
      </c>
      <c r="L18">
        <v>329000</v>
      </c>
    </row>
    <row r="19" spans="1:12" x14ac:dyDescent="0.4">
      <c r="A19" s="11" t="s">
        <v>12</v>
      </c>
      <c r="B19" s="11" t="s">
        <v>164</v>
      </c>
      <c r="C19">
        <v>6</v>
      </c>
      <c r="D19">
        <v>31</v>
      </c>
      <c r="E19" s="11" t="s">
        <v>30</v>
      </c>
      <c r="F19" s="11" t="s">
        <v>15</v>
      </c>
      <c r="G19" s="11" t="s">
        <v>38</v>
      </c>
      <c r="H19">
        <v>12800</v>
      </c>
      <c r="I19" s="11" t="s">
        <v>32</v>
      </c>
      <c r="J19" t="s">
        <v>215</v>
      </c>
      <c r="K19" t="s">
        <v>216</v>
      </c>
      <c r="L19">
        <v>179200</v>
      </c>
    </row>
    <row r="20" spans="1:12" x14ac:dyDescent="0.4">
      <c r="A20" s="11" t="s">
        <v>12</v>
      </c>
      <c r="B20" s="11" t="s">
        <v>171</v>
      </c>
      <c r="C20">
        <v>8</v>
      </c>
      <c r="D20">
        <v>35</v>
      </c>
      <c r="E20" s="11" t="s">
        <v>30</v>
      </c>
      <c r="F20" s="11" t="s">
        <v>31</v>
      </c>
      <c r="G20" s="11" t="s">
        <v>48</v>
      </c>
      <c r="H20">
        <v>17000</v>
      </c>
      <c r="I20" s="11" t="s">
        <v>32</v>
      </c>
      <c r="J20" t="s">
        <v>215</v>
      </c>
      <c r="K20" t="s">
        <v>216</v>
      </c>
      <c r="L20">
        <v>238000</v>
      </c>
    </row>
    <row r="21" spans="1:12" x14ac:dyDescent="0.4">
      <c r="A21" s="11" t="s">
        <v>12</v>
      </c>
      <c r="B21" s="11" t="s">
        <v>177</v>
      </c>
      <c r="C21">
        <v>10</v>
      </c>
      <c r="D21">
        <v>40</v>
      </c>
      <c r="E21" s="11" t="s">
        <v>30</v>
      </c>
      <c r="F21" s="11" t="s">
        <v>31</v>
      </c>
      <c r="G21" s="11" t="s">
        <v>53</v>
      </c>
      <c r="H21">
        <v>22500</v>
      </c>
      <c r="I21" s="11" t="s">
        <v>16</v>
      </c>
      <c r="J21" t="s">
        <v>215</v>
      </c>
      <c r="K21" t="s">
        <v>217</v>
      </c>
      <c r="L21">
        <v>315000</v>
      </c>
    </row>
    <row r="22" spans="1:12" x14ac:dyDescent="0.4">
      <c r="A22" s="11" t="s">
        <v>12</v>
      </c>
      <c r="B22" s="11" t="s">
        <v>183</v>
      </c>
      <c r="C22">
        <v>7</v>
      </c>
      <c r="D22">
        <v>34</v>
      </c>
      <c r="E22" s="11" t="s">
        <v>14</v>
      </c>
      <c r="F22" s="11" t="s">
        <v>31</v>
      </c>
      <c r="G22" s="11" t="s">
        <v>48</v>
      </c>
      <c r="H22">
        <v>18000</v>
      </c>
      <c r="I22" s="11" t="s">
        <v>32</v>
      </c>
      <c r="J22" t="s">
        <v>215</v>
      </c>
      <c r="K22" t="s">
        <v>216</v>
      </c>
      <c r="L22">
        <v>252000</v>
      </c>
    </row>
    <row r="23" spans="1:12" x14ac:dyDescent="0.4">
      <c r="A23" s="11" t="s">
        <v>12</v>
      </c>
      <c r="B23" s="11" t="s">
        <v>189</v>
      </c>
      <c r="C23">
        <v>5</v>
      </c>
      <c r="D23">
        <v>29</v>
      </c>
      <c r="E23" s="11" t="s">
        <v>30</v>
      </c>
      <c r="F23" s="11" t="s">
        <v>15</v>
      </c>
      <c r="G23" s="11" t="s">
        <v>24</v>
      </c>
      <c r="H23">
        <v>11100</v>
      </c>
      <c r="I23" s="11" t="s">
        <v>25</v>
      </c>
      <c r="J23" t="s">
        <v>213</v>
      </c>
      <c r="K23" t="s">
        <v>214</v>
      </c>
      <c r="L23">
        <v>155400</v>
      </c>
    </row>
    <row r="24" spans="1:12" x14ac:dyDescent="0.4">
      <c r="A24" s="11" t="s">
        <v>12</v>
      </c>
      <c r="B24" s="11" t="s">
        <v>193</v>
      </c>
      <c r="C24">
        <v>9</v>
      </c>
      <c r="D24">
        <v>38</v>
      </c>
      <c r="E24" s="11" t="s">
        <v>30</v>
      </c>
      <c r="F24" s="11" t="s">
        <v>31</v>
      </c>
      <c r="G24" s="11" t="s">
        <v>53</v>
      </c>
      <c r="H24">
        <v>23500</v>
      </c>
      <c r="I24" s="11" t="s">
        <v>25</v>
      </c>
      <c r="J24" t="s">
        <v>215</v>
      </c>
      <c r="K24" t="s">
        <v>217</v>
      </c>
      <c r="L24">
        <v>329000</v>
      </c>
    </row>
    <row r="25" spans="1:12" x14ac:dyDescent="0.4">
      <c r="A25" s="11" t="s">
        <v>12</v>
      </c>
      <c r="B25" s="11" t="s">
        <v>197</v>
      </c>
      <c r="C25">
        <v>11</v>
      </c>
      <c r="D25">
        <v>41</v>
      </c>
      <c r="E25" s="11" t="s">
        <v>30</v>
      </c>
      <c r="F25" s="11" t="s">
        <v>224</v>
      </c>
      <c r="G25" s="11" t="s">
        <v>22</v>
      </c>
      <c r="H25">
        <v>31500</v>
      </c>
      <c r="I25" s="11" t="s">
        <v>25</v>
      </c>
      <c r="J25" t="s">
        <v>219</v>
      </c>
      <c r="K25" t="s">
        <v>220</v>
      </c>
      <c r="L25">
        <v>441000</v>
      </c>
    </row>
    <row r="26" spans="1:12" x14ac:dyDescent="0.4">
      <c r="A26" s="11" t="s">
        <v>12</v>
      </c>
      <c r="B26" s="11" t="s">
        <v>201</v>
      </c>
      <c r="C26">
        <v>6</v>
      </c>
      <c r="D26">
        <v>32</v>
      </c>
      <c r="E26" s="11" t="s">
        <v>30</v>
      </c>
      <c r="F26" s="11" t="s">
        <v>31</v>
      </c>
      <c r="G26" s="11" t="s">
        <v>38</v>
      </c>
      <c r="H26">
        <v>14500</v>
      </c>
      <c r="I26" s="11" t="s">
        <v>32</v>
      </c>
      <c r="J26" t="s">
        <v>215</v>
      </c>
      <c r="K26" t="s">
        <v>216</v>
      </c>
      <c r="L26">
        <v>203000</v>
      </c>
    </row>
    <row r="27" spans="1:12" x14ac:dyDescent="0.4">
      <c r="A27" s="11" t="s">
        <v>12</v>
      </c>
      <c r="B27" s="11" t="s">
        <v>205</v>
      </c>
      <c r="C27">
        <v>8</v>
      </c>
      <c r="D27">
        <v>35</v>
      </c>
      <c r="E27" s="11" t="s">
        <v>30</v>
      </c>
      <c r="F27" s="11" t="s">
        <v>31</v>
      </c>
      <c r="G27" s="11" t="s">
        <v>48</v>
      </c>
      <c r="H27">
        <v>17200</v>
      </c>
      <c r="I27" s="11" t="s">
        <v>25</v>
      </c>
      <c r="J27" t="s">
        <v>215</v>
      </c>
      <c r="K27" t="s">
        <v>216</v>
      </c>
      <c r="L27">
        <v>240800</v>
      </c>
    </row>
    <row r="28" spans="1:12" x14ac:dyDescent="0.4">
      <c r="A28" s="11" t="s">
        <v>39</v>
      </c>
      <c r="B28" s="11" t="s">
        <v>41</v>
      </c>
      <c r="C28">
        <v>4</v>
      </c>
      <c r="D28">
        <v>27</v>
      </c>
      <c r="E28" s="11" t="s">
        <v>30</v>
      </c>
      <c r="F28" s="11" t="s">
        <v>15</v>
      </c>
      <c r="G28" s="11" t="s">
        <v>24</v>
      </c>
      <c r="H28">
        <v>10000</v>
      </c>
      <c r="I28" s="11" t="s">
        <v>25</v>
      </c>
      <c r="J28" t="s">
        <v>213</v>
      </c>
      <c r="K28" t="s">
        <v>214</v>
      </c>
      <c r="L28">
        <v>140000</v>
      </c>
    </row>
    <row r="29" spans="1:12" x14ac:dyDescent="0.4">
      <c r="A29" s="11" t="s">
        <v>39</v>
      </c>
      <c r="B29" s="11" t="s">
        <v>55</v>
      </c>
      <c r="C29">
        <v>10</v>
      </c>
      <c r="D29">
        <v>40</v>
      </c>
      <c r="E29" s="11" t="s">
        <v>30</v>
      </c>
      <c r="F29" s="11" t="s">
        <v>15</v>
      </c>
      <c r="G29" s="11" t="s">
        <v>53</v>
      </c>
      <c r="H29">
        <v>21000</v>
      </c>
      <c r="I29" s="11" t="s">
        <v>32</v>
      </c>
      <c r="J29" t="s">
        <v>215</v>
      </c>
      <c r="K29" t="s">
        <v>217</v>
      </c>
      <c r="L29">
        <v>294000</v>
      </c>
    </row>
    <row r="30" spans="1:12" x14ac:dyDescent="0.4">
      <c r="A30" s="11" t="s">
        <v>39</v>
      </c>
      <c r="B30" s="11" t="s">
        <v>67</v>
      </c>
      <c r="C30">
        <v>4</v>
      </c>
      <c r="D30">
        <v>29</v>
      </c>
      <c r="E30" s="11" t="s">
        <v>30</v>
      </c>
      <c r="F30" s="11" t="s">
        <v>15</v>
      </c>
      <c r="G30" s="11" t="s">
        <v>38</v>
      </c>
      <c r="H30">
        <v>13500</v>
      </c>
      <c r="I30" s="11" t="s">
        <v>25</v>
      </c>
      <c r="J30" t="s">
        <v>213</v>
      </c>
      <c r="K30" t="s">
        <v>214</v>
      </c>
      <c r="L30">
        <v>189000</v>
      </c>
    </row>
    <row r="31" spans="1:12" x14ac:dyDescent="0.4">
      <c r="A31" s="11" t="s">
        <v>39</v>
      </c>
      <c r="B31" s="11" t="s">
        <v>82</v>
      </c>
      <c r="C31">
        <v>9</v>
      </c>
      <c r="D31">
        <v>37</v>
      </c>
      <c r="E31" s="11" t="s">
        <v>30</v>
      </c>
      <c r="F31" s="11" t="s">
        <v>31</v>
      </c>
      <c r="G31" s="11" t="s">
        <v>53</v>
      </c>
      <c r="H31">
        <v>22000</v>
      </c>
      <c r="I31" s="11" t="s">
        <v>25</v>
      </c>
      <c r="J31" t="s">
        <v>215</v>
      </c>
      <c r="K31" t="s">
        <v>217</v>
      </c>
      <c r="L31">
        <v>308000</v>
      </c>
    </row>
    <row r="32" spans="1:12" x14ac:dyDescent="0.4">
      <c r="A32" s="11" t="s">
        <v>39</v>
      </c>
      <c r="B32" s="11" t="s">
        <v>100</v>
      </c>
      <c r="C32">
        <v>3</v>
      </c>
      <c r="D32">
        <v>26</v>
      </c>
      <c r="E32" s="11" t="s">
        <v>30</v>
      </c>
      <c r="F32" s="11" t="s">
        <v>15</v>
      </c>
      <c r="G32" s="11" t="s">
        <v>24</v>
      </c>
      <c r="H32">
        <v>9800</v>
      </c>
      <c r="I32" s="11" t="s">
        <v>25</v>
      </c>
      <c r="J32" t="s">
        <v>218</v>
      </c>
      <c r="K32" t="s">
        <v>214</v>
      </c>
      <c r="L32">
        <v>137200</v>
      </c>
    </row>
    <row r="33" spans="1:12" x14ac:dyDescent="0.4">
      <c r="A33" s="11" t="s">
        <v>39</v>
      </c>
      <c r="B33" s="11" t="s">
        <v>117</v>
      </c>
      <c r="C33">
        <v>8</v>
      </c>
      <c r="D33">
        <v>36</v>
      </c>
      <c r="E33" s="11" t="s">
        <v>14</v>
      </c>
      <c r="F33" s="11" t="s">
        <v>31</v>
      </c>
      <c r="G33" s="11" t="s">
        <v>48</v>
      </c>
      <c r="H33">
        <v>18000</v>
      </c>
      <c r="I33" s="11" t="s">
        <v>32</v>
      </c>
      <c r="J33" t="s">
        <v>215</v>
      </c>
      <c r="K33" t="s">
        <v>217</v>
      </c>
      <c r="L33">
        <v>252000</v>
      </c>
    </row>
    <row r="34" spans="1:12" x14ac:dyDescent="0.4">
      <c r="A34" s="11" t="s">
        <v>39</v>
      </c>
      <c r="B34" s="11" t="s">
        <v>134</v>
      </c>
      <c r="C34">
        <v>3</v>
      </c>
      <c r="D34">
        <v>26</v>
      </c>
      <c r="E34" s="11" t="s">
        <v>30</v>
      </c>
      <c r="F34" s="11" t="s">
        <v>15</v>
      </c>
      <c r="G34" s="11" t="s">
        <v>24</v>
      </c>
      <c r="H34">
        <v>9900</v>
      </c>
      <c r="I34" s="11" t="s">
        <v>25</v>
      </c>
      <c r="J34" t="s">
        <v>218</v>
      </c>
      <c r="K34" t="s">
        <v>214</v>
      </c>
      <c r="L34">
        <v>138600</v>
      </c>
    </row>
    <row r="35" spans="1:12" x14ac:dyDescent="0.4">
      <c r="A35" s="11" t="s">
        <v>39</v>
      </c>
      <c r="B35" s="11" t="s">
        <v>147</v>
      </c>
      <c r="C35">
        <v>10</v>
      </c>
      <c r="D35">
        <v>40</v>
      </c>
      <c r="E35" s="11" t="s">
        <v>14</v>
      </c>
      <c r="F35" s="11" t="s">
        <v>31</v>
      </c>
      <c r="G35" s="11" t="s">
        <v>53</v>
      </c>
      <c r="H35">
        <v>22500</v>
      </c>
      <c r="I35" s="11" t="s">
        <v>25</v>
      </c>
      <c r="J35" t="s">
        <v>215</v>
      </c>
      <c r="K35" t="s">
        <v>217</v>
      </c>
      <c r="L35">
        <v>315000</v>
      </c>
    </row>
    <row r="36" spans="1:12" x14ac:dyDescent="0.4">
      <c r="A36" s="11" t="s">
        <v>39</v>
      </c>
      <c r="B36" s="11" t="s">
        <v>157</v>
      </c>
      <c r="C36">
        <v>5</v>
      </c>
      <c r="D36">
        <v>30</v>
      </c>
      <c r="E36" s="11" t="s">
        <v>14</v>
      </c>
      <c r="F36" s="11" t="s">
        <v>15</v>
      </c>
      <c r="G36" s="11" t="s">
        <v>24</v>
      </c>
      <c r="H36">
        <v>10200</v>
      </c>
      <c r="I36" s="11" t="s">
        <v>25</v>
      </c>
      <c r="J36" t="s">
        <v>213</v>
      </c>
      <c r="K36" t="s">
        <v>216</v>
      </c>
      <c r="L36">
        <v>142800</v>
      </c>
    </row>
    <row r="37" spans="1:12" x14ac:dyDescent="0.4">
      <c r="A37" s="11" t="s">
        <v>39</v>
      </c>
      <c r="B37" s="11" t="s">
        <v>166</v>
      </c>
      <c r="C37">
        <v>4</v>
      </c>
      <c r="D37">
        <v>28</v>
      </c>
      <c r="E37" s="11" t="s">
        <v>30</v>
      </c>
      <c r="F37" s="11" t="s">
        <v>15</v>
      </c>
      <c r="G37" s="11" t="s">
        <v>24</v>
      </c>
      <c r="H37">
        <v>10100</v>
      </c>
      <c r="I37" s="11" t="s">
        <v>25</v>
      </c>
      <c r="J37" t="s">
        <v>213</v>
      </c>
      <c r="K37" t="s">
        <v>214</v>
      </c>
      <c r="L37">
        <v>141400</v>
      </c>
    </row>
    <row r="38" spans="1:12" x14ac:dyDescent="0.4">
      <c r="A38" s="11" t="s">
        <v>39</v>
      </c>
      <c r="B38" s="11" t="s">
        <v>186</v>
      </c>
      <c r="C38">
        <v>8</v>
      </c>
      <c r="D38">
        <v>36</v>
      </c>
      <c r="E38" s="11" t="s">
        <v>30</v>
      </c>
      <c r="F38" s="11" t="s">
        <v>15</v>
      </c>
      <c r="G38" s="11" t="s">
        <v>48</v>
      </c>
      <c r="H38">
        <v>18500</v>
      </c>
      <c r="I38" s="11" t="s">
        <v>25</v>
      </c>
      <c r="J38" t="s">
        <v>215</v>
      </c>
      <c r="K38" t="s">
        <v>217</v>
      </c>
      <c r="L38">
        <v>259000</v>
      </c>
    </row>
    <row r="39" spans="1:12" x14ac:dyDescent="0.4">
      <c r="A39" s="11" t="s">
        <v>39</v>
      </c>
      <c r="B39" s="11" t="s">
        <v>207</v>
      </c>
      <c r="C39">
        <v>3</v>
      </c>
      <c r="D39">
        <v>26</v>
      </c>
      <c r="E39" s="11" t="s">
        <v>14</v>
      </c>
      <c r="F39" s="11" t="s">
        <v>15</v>
      </c>
      <c r="G39" s="11" t="s">
        <v>24</v>
      </c>
      <c r="H39">
        <v>9900</v>
      </c>
      <c r="I39" s="11" t="s">
        <v>208</v>
      </c>
      <c r="J39" t="s">
        <v>218</v>
      </c>
      <c r="K39" t="s">
        <v>214</v>
      </c>
      <c r="L39">
        <v>138600</v>
      </c>
    </row>
    <row r="40" spans="1:12" x14ac:dyDescent="0.4">
      <c r="A40" s="11" t="s">
        <v>33</v>
      </c>
      <c r="B40" s="11" t="s">
        <v>35</v>
      </c>
      <c r="C40">
        <v>7</v>
      </c>
      <c r="D40">
        <v>33</v>
      </c>
      <c r="E40" s="11" t="s">
        <v>14</v>
      </c>
      <c r="F40" s="11" t="s">
        <v>15</v>
      </c>
      <c r="G40" s="11" t="s">
        <v>38</v>
      </c>
      <c r="H40">
        <v>13000</v>
      </c>
      <c r="I40" s="11" t="s">
        <v>25</v>
      </c>
      <c r="J40" t="s">
        <v>215</v>
      </c>
      <c r="K40" t="s">
        <v>216</v>
      </c>
      <c r="L40">
        <v>182000</v>
      </c>
    </row>
    <row r="41" spans="1:12" x14ac:dyDescent="0.4">
      <c r="A41" s="11" t="s">
        <v>33</v>
      </c>
      <c r="B41" s="11" t="s">
        <v>50</v>
      </c>
      <c r="C41">
        <v>9</v>
      </c>
      <c r="D41">
        <v>38</v>
      </c>
      <c r="E41" s="11" t="s">
        <v>14</v>
      </c>
      <c r="F41" s="11" t="s">
        <v>31</v>
      </c>
      <c r="G41" s="11" t="s">
        <v>53</v>
      </c>
      <c r="H41">
        <v>22000</v>
      </c>
      <c r="I41" s="11" t="s">
        <v>25</v>
      </c>
      <c r="J41" t="s">
        <v>215</v>
      </c>
      <c r="K41" t="s">
        <v>217</v>
      </c>
      <c r="L41">
        <v>308000</v>
      </c>
    </row>
    <row r="42" spans="1:12" x14ac:dyDescent="0.4">
      <c r="A42" s="11" t="s">
        <v>33</v>
      </c>
      <c r="B42" s="11" t="s">
        <v>63</v>
      </c>
      <c r="C42">
        <v>11</v>
      </c>
      <c r="D42">
        <v>41</v>
      </c>
      <c r="E42" s="11" t="s">
        <v>14</v>
      </c>
      <c r="F42" s="11" t="s">
        <v>31</v>
      </c>
      <c r="G42" s="11" t="s">
        <v>22</v>
      </c>
      <c r="H42">
        <v>30000</v>
      </c>
      <c r="I42" s="11" t="s">
        <v>16</v>
      </c>
      <c r="J42" t="s">
        <v>219</v>
      </c>
      <c r="K42" t="s">
        <v>220</v>
      </c>
      <c r="L42">
        <v>420000</v>
      </c>
    </row>
    <row r="43" spans="1:12" x14ac:dyDescent="0.4">
      <c r="A43" s="11" t="s">
        <v>33</v>
      </c>
      <c r="B43" s="11" t="s">
        <v>78</v>
      </c>
      <c r="C43">
        <v>8</v>
      </c>
      <c r="D43">
        <v>36</v>
      </c>
      <c r="E43" s="11" t="s">
        <v>14</v>
      </c>
      <c r="F43" s="11" t="s">
        <v>15</v>
      </c>
      <c r="G43" s="11" t="s">
        <v>48</v>
      </c>
      <c r="H43">
        <v>17000</v>
      </c>
      <c r="I43" s="11" t="s">
        <v>25</v>
      </c>
      <c r="J43" t="s">
        <v>215</v>
      </c>
      <c r="K43" t="s">
        <v>217</v>
      </c>
      <c r="L43">
        <v>238000</v>
      </c>
    </row>
    <row r="44" spans="1:12" x14ac:dyDescent="0.4">
      <c r="A44" s="11" t="s">
        <v>33</v>
      </c>
      <c r="B44" s="11" t="s">
        <v>89</v>
      </c>
      <c r="C44">
        <v>5</v>
      </c>
      <c r="D44">
        <v>29</v>
      </c>
      <c r="E44" s="11" t="s">
        <v>30</v>
      </c>
      <c r="F44" s="11" t="s">
        <v>15</v>
      </c>
      <c r="G44" s="11" t="s">
        <v>24</v>
      </c>
      <c r="H44">
        <v>10800</v>
      </c>
      <c r="I44" s="11" t="s">
        <v>25</v>
      </c>
      <c r="J44" t="s">
        <v>213</v>
      </c>
      <c r="K44" t="s">
        <v>214</v>
      </c>
      <c r="L44">
        <v>151200</v>
      </c>
    </row>
    <row r="45" spans="1:12" x14ac:dyDescent="0.4">
      <c r="A45" s="11" t="s">
        <v>33</v>
      </c>
      <c r="B45" s="11" t="s">
        <v>97</v>
      </c>
      <c r="C45">
        <v>4</v>
      </c>
      <c r="D45">
        <v>28</v>
      </c>
      <c r="E45" s="11" t="s">
        <v>30</v>
      </c>
      <c r="F45" s="11" t="s">
        <v>15</v>
      </c>
      <c r="G45" s="11" t="s">
        <v>24</v>
      </c>
      <c r="H45">
        <v>10500</v>
      </c>
      <c r="I45" s="11" t="s">
        <v>25</v>
      </c>
      <c r="J45" t="s">
        <v>213</v>
      </c>
      <c r="K45" t="s">
        <v>214</v>
      </c>
      <c r="L45">
        <v>147000</v>
      </c>
    </row>
    <row r="46" spans="1:12" x14ac:dyDescent="0.4">
      <c r="A46" s="11" t="s">
        <v>33</v>
      </c>
      <c r="B46" s="11" t="s">
        <v>106</v>
      </c>
      <c r="C46">
        <v>10</v>
      </c>
      <c r="D46">
        <v>40</v>
      </c>
      <c r="E46" s="11" t="s">
        <v>30</v>
      </c>
      <c r="F46" s="11" t="s">
        <v>15</v>
      </c>
      <c r="G46" s="11" t="s">
        <v>53</v>
      </c>
      <c r="H46">
        <v>21500</v>
      </c>
      <c r="I46" s="11" t="s">
        <v>25</v>
      </c>
      <c r="J46" t="s">
        <v>215</v>
      </c>
      <c r="K46" t="s">
        <v>217</v>
      </c>
      <c r="L46">
        <v>301000</v>
      </c>
    </row>
    <row r="47" spans="1:12" x14ac:dyDescent="0.4">
      <c r="A47" s="11" t="s">
        <v>33</v>
      </c>
      <c r="B47" s="11" t="s">
        <v>113</v>
      </c>
      <c r="C47">
        <v>6</v>
      </c>
      <c r="D47">
        <v>32</v>
      </c>
      <c r="E47" s="11" t="s">
        <v>30</v>
      </c>
      <c r="F47" s="11" t="s">
        <v>15</v>
      </c>
      <c r="G47" s="11" t="s">
        <v>38</v>
      </c>
      <c r="H47">
        <v>14000</v>
      </c>
      <c r="I47" s="11" t="s">
        <v>25</v>
      </c>
      <c r="J47" t="s">
        <v>215</v>
      </c>
      <c r="K47" t="s">
        <v>216</v>
      </c>
      <c r="L47">
        <v>196000</v>
      </c>
    </row>
    <row r="48" spans="1:12" x14ac:dyDescent="0.4">
      <c r="A48" s="11" t="s">
        <v>33</v>
      </c>
      <c r="B48" s="11" t="s">
        <v>124</v>
      </c>
      <c r="C48">
        <v>11</v>
      </c>
      <c r="D48">
        <v>42</v>
      </c>
      <c r="E48" s="11" t="s">
        <v>14</v>
      </c>
      <c r="F48" s="11" t="s">
        <v>31</v>
      </c>
      <c r="G48" s="11" t="s">
        <v>22</v>
      </c>
      <c r="H48">
        <v>32000</v>
      </c>
      <c r="I48" s="11" t="s">
        <v>16</v>
      </c>
      <c r="J48" t="s">
        <v>219</v>
      </c>
      <c r="K48" t="s">
        <v>220</v>
      </c>
      <c r="L48">
        <v>448000</v>
      </c>
    </row>
    <row r="49" spans="1:12" x14ac:dyDescent="0.4">
      <c r="A49" s="11" t="s">
        <v>33</v>
      </c>
      <c r="B49" s="11" t="s">
        <v>131</v>
      </c>
      <c r="C49">
        <v>4</v>
      </c>
      <c r="D49">
        <v>28</v>
      </c>
      <c r="E49" s="11" t="s">
        <v>14</v>
      </c>
      <c r="F49" s="11" t="s">
        <v>15</v>
      </c>
      <c r="G49" s="11" t="s">
        <v>24</v>
      </c>
      <c r="H49">
        <v>10600</v>
      </c>
      <c r="I49" s="11" t="s">
        <v>25</v>
      </c>
      <c r="J49" t="s">
        <v>213</v>
      </c>
      <c r="K49" t="s">
        <v>214</v>
      </c>
      <c r="L49">
        <v>148400</v>
      </c>
    </row>
    <row r="50" spans="1:12" x14ac:dyDescent="0.4">
      <c r="A50" s="11" t="s">
        <v>33</v>
      </c>
      <c r="B50" s="11" t="s">
        <v>140</v>
      </c>
      <c r="C50">
        <v>7</v>
      </c>
      <c r="D50">
        <v>33</v>
      </c>
      <c r="E50" s="11" t="s">
        <v>30</v>
      </c>
      <c r="F50" s="11" t="s">
        <v>15</v>
      </c>
      <c r="G50" s="11" t="s">
        <v>38</v>
      </c>
      <c r="H50">
        <v>13200</v>
      </c>
      <c r="I50" s="11" t="s">
        <v>25</v>
      </c>
      <c r="J50" t="s">
        <v>215</v>
      </c>
      <c r="K50" t="s">
        <v>216</v>
      </c>
      <c r="L50">
        <v>184800</v>
      </c>
    </row>
    <row r="51" spans="1:12" x14ac:dyDescent="0.4">
      <c r="A51" s="11" t="s">
        <v>33</v>
      </c>
      <c r="B51" s="11" t="s">
        <v>145</v>
      </c>
      <c r="C51">
        <v>9</v>
      </c>
      <c r="D51">
        <v>37</v>
      </c>
      <c r="E51" s="11" t="s">
        <v>30</v>
      </c>
      <c r="F51" s="11" t="s">
        <v>15</v>
      </c>
      <c r="G51" s="11" t="s">
        <v>48</v>
      </c>
      <c r="H51">
        <v>17500</v>
      </c>
      <c r="I51" s="11" t="s">
        <v>32</v>
      </c>
      <c r="J51" t="s">
        <v>215</v>
      </c>
      <c r="K51" t="s">
        <v>217</v>
      </c>
      <c r="L51">
        <v>245000</v>
      </c>
    </row>
    <row r="52" spans="1:12" x14ac:dyDescent="0.4">
      <c r="A52" s="11" t="s">
        <v>33</v>
      </c>
      <c r="B52" s="11" t="s">
        <v>151</v>
      </c>
      <c r="C52">
        <v>6</v>
      </c>
      <c r="D52">
        <v>31</v>
      </c>
      <c r="E52" s="11" t="s">
        <v>30</v>
      </c>
      <c r="F52" s="11" t="s">
        <v>15</v>
      </c>
      <c r="G52" s="11" t="s">
        <v>38</v>
      </c>
      <c r="H52">
        <v>13800</v>
      </c>
      <c r="I52" s="11" t="s">
        <v>25</v>
      </c>
      <c r="J52" t="s">
        <v>215</v>
      </c>
      <c r="K52" t="s">
        <v>216</v>
      </c>
      <c r="L52">
        <v>193200</v>
      </c>
    </row>
    <row r="53" spans="1:12" x14ac:dyDescent="0.4">
      <c r="A53" s="11" t="s">
        <v>33</v>
      </c>
      <c r="B53" s="11" t="s">
        <v>155</v>
      </c>
      <c r="C53">
        <v>7</v>
      </c>
      <c r="D53">
        <v>34</v>
      </c>
      <c r="E53" s="11" t="s">
        <v>30</v>
      </c>
      <c r="F53" s="11" t="s">
        <v>15</v>
      </c>
      <c r="G53" s="11" t="s">
        <v>38</v>
      </c>
      <c r="H53">
        <v>13300</v>
      </c>
      <c r="I53" s="11" t="s">
        <v>32</v>
      </c>
      <c r="J53" t="s">
        <v>215</v>
      </c>
      <c r="K53" t="s">
        <v>216</v>
      </c>
      <c r="L53">
        <v>186200</v>
      </c>
    </row>
    <row r="54" spans="1:12" x14ac:dyDescent="0.4">
      <c r="A54" s="11" t="s">
        <v>33</v>
      </c>
      <c r="B54" s="11" t="s">
        <v>161</v>
      </c>
      <c r="C54">
        <v>5</v>
      </c>
      <c r="D54">
        <v>29</v>
      </c>
      <c r="E54" s="11" t="s">
        <v>14</v>
      </c>
      <c r="F54" s="11" t="s">
        <v>15</v>
      </c>
      <c r="G54" s="11" t="s">
        <v>24</v>
      </c>
      <c r="H54">
        <v>10900</v>
      </c>
      <c r="I54" s="11" t="s">
        <v>25</v>
      </c>
      <c r="J54" t="s">
        <v>213</v>
      </c>
      <c r="K54" t="s">
        <v>214</v>
      </c>
      <c r="L54">
        <v>152600</v>
      </c>
    </row>
    <row r="55" spans="1:12" x14ac:dyDescent="0.4">
      <c r="A55" s="11" t="s">
        <v>33</v>
      </c>
      <c r="B55" s="11" t="s">
        <v>168</v>
      </c>
      <c r="C55">
        <v>7</v>
      </c>
      <c r="D55">
        <v>34</v>
      </c>
      <c r="E55" s="11" t="s">
        <v>14</v>
      </c>
      <c r="F55" s="11" t="s">
        <v>15</v>
      </c>
      <c r="G55" s="11" t="s">
        <v>38</v>
      </c>
      <c r="H55">
        <v>13700</v>
      </c>
      <c r="I55" s="11" t="s">
        <v>25</v>
      </c>
      <c r="J55" t="s">
        <v>215</v>
      </c>
      <c r="K55" t="s">
        <v>216</v>
      </c>
      <c r="L55">
        <v>191800</v>
      </c>
    </row>
    <row r="56" spans="1:12" x14ac:dyDescent="0.4">
      <c r="A56" s="11" t="s">
        <v>33</v>
      </c>
      <c r="B56" s="11" t="s">
        <v>174</v>
      </c>
      <c r="C56">
        <v>9</v>
      </c>
      <c r="D56">
        <v>37</v>
      </c>
      <c r="E56" s="11" t="s">
        <v>14</v>
      </c>
      <c r="F56" s="11" t="s">
        <v>15</v>
      </c>
      <c r="G56" s="11" t="s">
        <v>48</v>
      </c>
      <c r="H56">
        <v>17600</v>
      </c>
      <c r="I56" s="11" t="s">
        <v>25</v>
      </c>
      <c r="J56" t="s">
        <v>215</v>
      </c>
      <c r="K56" t="s">
        <v>217</v>
      </c>
      <c r="L56">
        <v>246400</v>
      </c>
    </row>
    <row r="57" spans="1:12" x14ac:dyDescent="0.4">
      <c r="A57" s="11" t="s">
        <v>33</v>
      </c>
      <c r="B57" s="11" t="s">
        <v>180</v>
      </c>
      <c r="C57">
        <v>11</v>
      </c>
      <c r="D57">
        <v>41</v>
      </c>
      <c r="E57" s="11" t="s">
        <v>14</v>
      </c>
      <c r="F57" s="11" t="s">
        <v>31</v>
      </c>
      <c r="G57" s="11" t="s">
        <v>22</v>
      </c>
      <c r="H57">
        <v>31000</v>
      </c>
      <c r="I57" s="11" t="s">
        <v>25</v>
      </c>
      <c r="J57" t="s">
        <v>219</v>
      </c>
      <c r="K57" t="s">
        <v>220</v>
      </c>
      <c r="L57">
        <v>434000</v>
      </c>
    </row>
    <row r="58" spans="1:12" x14ac:dyDescent="0.4">
      <c r="A58" s="11" t="s">
        <v>33</v>
      </c>
      <c r="B58" s="11" t="s">
        <v>191</v>
      </c>
      <c r="C58">
        <v>6</v>
      </c>
      <c r="D58">
        <v>32</v>
      </c>
      <c r="E58" s="11" t="s">
        <v>14</v>
      </c>
      <c r="F58" s="11" t="s">
        <v>15</v>
      </c>
      <c r="G58" s="11" t="s">
        <v>38</v>
      </c>
      <c r="H58">
        <v>13900</v>
      </c>
      <c r="I58" s="11" t="s">
        <v>32</v>
      </c>
      <c r="J58" t="s">
        <v>215</v>
      </c>
      <c r="K58" t="s">
        <v>216</v>
      </c>
      <c r="L58">
        <v>194600</v>
      </c>
    </row>
    <row r="59" spans="1:12" x14ac:dyDescent="0.4">
      <c r="A59" s="11" t="s">
        <v>33</v>
      </c>
      <c r="B59" s="11" t="s">
        <v>195</v>
      </c>
      <c r="C59">
        <v>10</v>
      </c>
      <c r="D59">
        <v>40</v>
      </c>
      <c r="E59" s="11" t="s">
        <v>14</v>
      </c>
      <c r="F59" s="11" t="s">
        <v>31</v>
      </c>
      <c r="G59" s="11" t="s">
        <v>53</v>
      </c>
      <c r="H59">
        <v>22000</v>
      </c>
      <c r="I59" s="11" t="s">
        <v>16</v>
      </c>
      <c r="J59" t="s">
        <v>215</v>
      </c>
      <c r="K59" t="s">
        <v>217</v>
      </c>
      <c r="L59">
        <v>308000</v>
      </c>
    </row>
    <row r="60" spans="1:12" x14ac:dyDescent="0.4">
      <c r="A60" s="11" t="s">
        <v>33</v>
      </c>
      <c r="B60" s="11" t="s">
        <v>199</v>
      </c>
      <c r="C60">
        <v>4</v>
      </c>
      <c r="D60">
        <v>28</v>
      </c>
      <c r="E60" s="11" t="s">
        <v>14</v>
      </c>
      <c r="F60" s="11" t="s">
        <v>15</v>
      </c>
      <c r="G60" s="11" t="s">
        <v>24</v>
      </c>
      <c r="H60">
        <v>10700</v>
      </c>
      <c r="I60" s="11" t="s">
        <v>25</v>
      </c>
      <c r="J60" t="s">
        <v>213</v>
      </c>
      <c r="K60" t="s">
        <v>214</v>
      </c>
      <c r="L60">
        <v>149800</v>
      </c>
    </row>
    <row r="61" spans="1:12" x14ac:dyDescent="0.4">
      <c r="A61" s="11" t="s">
        <v>33</v>
      </c>
      <c r="B61" s="11" t="s">
        <v>203</v>
      </c>
      <c r="C61">
        <v>7</v>
      </c>
      <c r="D61">
        <v>34</v>
      </c>
      <c r="E61" s="11" t="s">
        <v>14</v>
      </c>
      <c r="F61" s="11" t="s">
        <v>15</v>
      </c>
      <c r="G61" s="11" t="s">
        <v>38</v>
      </c>
      <c r="H61">
        <v>14200</v>
      </c>
      <c r="I61" s="11" t="s">
        <v>25</v>
      </c>
      <c r="J61" t="s">
        <v>215</v>
      </c>
      <c r="K61" t="s">
        <v>216</v>
      </c>
      <c r="L61">
        <v>198800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495B-BCAE-4F4F-AC7A-901A48031DBC}">
  <dimension ref="A2:F59"/>
  <sheetViews>
    <sheetView workbookViewId="0">
      <selection activeCell="A2" sqref="A2"/>
    </sheetView>
  </sheetViews>
  <sheetFormatPr defaultRowHeight="13.9" x14ac:dyDescent="0.4"/>
  <cols>
    <col min="1" max="1" width="16.796875" bestFit="1" customWidth="1"/>
    <col min="2" max="2" width="9.06640625" bestFit="1" customWidth="1"/>
    <col min="3" max="6" width="4.9296875" bestFit="1" customWidth="1"/>
    <col min="7" max="7" width="11.265625" bestFit="1" customWidth="1"/>
    <col min="8" max="8" width="13.33203125" bestFit="1" customWidth="1"/>
    <col min="9" max="9" width="11.265625" bestFit="1" customWidth="1"/>
    <col min="10" max="10" width="17.3984375" bestFit="1" customWidth="1"/>
    <col min="11" max="11" width="15.3984375" bestFit="1" customWidth="1"/>
    <col min="12" max="48" width="7.46484375" bestFit="1" customWidth="1"/>
    <col min="49" max="49" width="9.59765625" bestFit="1" customWidth="1"/>
    <col min="50" max="52" width="6.3984375" bestFit="1" customWidth="1"/>
    <col min="53" max="53" width="7.6640625" bestFit="1" customWidth="1"/>
    <col min="54" max="54" width="8.53125" bestFit="1" customWidth="1"/>
  </cols>
  <sheetData>
    <row r="2" spans="1:2" x14ac:dyDescent="0.4">
      <c r="A2" t="s">
        <v>222</v>
      </c>
    </row>
    <row r="3" spans="1:2" x14ac:dyDescent="0.4">
      <c r="A3" s="11">
        <v>60</v>
      </c>
    </row>
    <row r="4" spans="1:2" x14ac:dyDescent="0.4">
      <c r="A4" s="11"/>
    </row>
    <row r="6" spans="1:2" x14ac:dyDescent="0.4">
      <c r="A6" t="s">
        <v>227</v>
      </c>
    </row>
    <row r="7" spans="1:2" x14ac:dyDescent="0.4">
      <c r="A7" s="11">
        <v>14134400</v>
      </c>
    </row>
    <row r="8" spans="1:2" x14ac:dyDescent="0.4">
      <c r="A8" s="15">
        <f>GETPIVOTDATA("年薪",$A$6)*1.2</f>
        <v>16961280</v>
      </c>
    </row>
    <row r="10" spans="1:2" x14ac:dyDescent="0.4">
      <c r="A10" t="s">
        <v>223</v>
      </c>
    </row>
    <row r="11" spans="1:2" x14ac:dyDescent="0.4">
      <c r="A11" s="11">
        <v>16826.666666666668</v>
      </c>
    </row>
    <row r="12" spans="1:2" x14ac:dyDescent="0.4">
      <c r="A12" s="16">
        <f>GETPIVOTDATA("月薪(元)",$A$10)</f>
        <v>16826.666666666668</v>
      </c>
    </row>
    <row r="14" spans="1:2" x14ac:dyDescent="0.4">
      <c r="A14" s="9" t="s">
        <v>209</v>
      </c>
      <c r="B14" t="s">
        <v>222</v>
      </c>
    </row>
    <row r="15" spans="1:2" x14ac:dyDescent="0.4">
      <c r="A15" s="10" t="s">
        <v>216</v>
      </c>
      <c r="B15" s="11">
        <v>21</v>
      </c>
    </row>
    <row r="16" spans="1:2" x14ac:dyDescent="0.4">
      <c r="A16" s="10" t="s">
        <v>214</v>
      </c>
      <c r="B16" s="11">
        <v>16</v>
      </c>
    </row>
    <row r="17" spans="1:2" x14ac:dyDescent="0.4">
      <c r="A17" s="10" t="s">
        <v>217</v>
      </c>
      <c r="B17" s="11">
        <v>17</v>
      </c>
    </row>
    <row r="18" spans="1:2" x14ac:dyDescent="0.4">
      <c r="A18" s="10" t="s">
        <v>220</v>
      </c>
      <c r="B18" s="11">
        <v>6</v>
      </c>
    </row>
    <row r="19" spans="1:2" x14ac:dyDescent="0.4">
      <c r="A19" s="10" t="s">
        <v>210</v>
      </c>
      <c r="B19" s="11">
        <v>60</v>
      </c>
    </row>
    <row r="24" spans="1:2" x14ac:dyDescent="0.4">
      <c r="A24" s="9" t="s">
        <v>209</v>
      </c>
      <c r="B24" t="s">
        <v>222</v>
      </c>
    </row>
    <row r="25" spans="1:2" x14ac:dyDescent="0.4">
      <c r="A25" s="10" t="s">
        <v>219</v>
      </c>
      <c r="B25" s="11">
        <v>6</v>
      </c>
    </row>
    <row r="26" spans="1:2" x14ac:dyDescent="0.4">
      <c r="A26" s="10" t="s">
        <v>213</v>
      </c>
      <c r="B26" s="11">
        <v>13</v>
      </c>
    </row>
    <row r="27" spans="1:2" x14ac:dyDescent="0.4">
      <c r="A27" s="10" t="s">
        <v>218</v>
      </c>
      <c r="B27" s="11">
        <v>4</v>
      </c>
    </row>
    <row r="28" spans="1:2" x14ac:dyDescent="0.4">
      <c r="A28" s="10" t="s">
        <v>215</v>
      </c>
      <c r="B28" s="11">
        <v>37</v>
      </c>
    </row>
    <row r="29" spans="1:2" x14ac:dyDescent="0.4">
      <c r="A29" s="10" t="s">
        <v>210</v>
      </c>
      <c r="B29" s="11">
        <v>60</v>
      </c>
    </row>
    <row r="30" spans="1:2" x14ac:dyDescent="0.4">
      <c r="B30">
        <f>GETPIVOTDATA("员工ID",$A$24)</f>
        <v>60</v>
      </c>
    </row>
    <row r="32" spans="1:2" x14ac:dyDescent="0.4">
      <c r="A32" s="9" t="s">
        <v>209</v>
      </c>
      <c r="B32" t="s">
        <v>222</v>
      </c>
    </row>
    <row r="33" spans="1:3" x14ac:dyDescent="0.4">
      <c r="A33" s="10" t="s">
        <v>14</v>
      </c>
      <c r="B33" s="11">
        <v>33</v>
      </c>
    </row>
    <row r="34" spans="1:3" x14ac:dyDescent="0.4">
      <c r="A34" s="10" t="s">
        <v>30</v>
      </c>
      <c r="B34" s="11">
        <v>27</v>
      </c>
    </row>
    <row r="35" spans="1:3" x14ac:dyDescent="0.4">
      <c r="A35" s="10" t="s">
        <v>210</v>
      </c>
      <c r="B35" s="11">
        <v>60</v>
      </c>
    </row>
    <row r="37" spans="1:3" x14ac:dyDescent="0.4">
      <c r="A37" s="9" t="s">
        <v>209</v>
      </c>
      <c r="B37" t="s">
        <v>222</v>
      </c>
    </row>
    <row r="38" spans="1:3" x14ac:dyDescent="0.4">
      <c r="A38" s="10" t="s">
        <v>15</v>
      </c>
      <c r="B38" s="11">
        <v>35</v>
      </c>
    </row>
    <row r="39" spans="1:3" x14ac:dyDescent="0.4">
      <c r="A39" s="10" t="s">
        <v>31</v>
      </c>
      <c r="B39" s="11">
        <v>22</v>
      </c>
    </row>
    <row r="40" spans="1:3" x14ac:dyDescent="0.4">
      <c r="A40" s="10" t="s">
        <v>224</v>
      </c>
      <c r="B40" s="11">
        <v>3</v>
      </c>
    </row>
    <row r="41" spans="1:3" x14ac:dyDescent="0.4">
      <c r="A41" s="10" t="s">
        <v>210</v>
      </c>
      <c r="B41" s="11">
        <v>60</v>
      </c>
    </row>
    <row r="45" spans="1:3" x14ac:dyDescent="0.4">
      <c r="A45" s="9" t="s">
        <v>209</v>
      </c>
      <c r="B45" t="s">
        <v>237</v>
      </c>
      <c r="C45" t="s">
        <v>233</v>
      </c>
    </row>
    <row r="46" spans="1:3" x14ac:dyDescent="0.4">
      <c r="A46" s="10" t="s">
        <v>24</v>
      </c>
      <c r="B46" s="19">
        <v>179800</v>
      </c>
      <c r="C46" s="19">
        <v>10576.470588235294</v>
      </c>
    </row>
    <row r="47" spans="1:3" x14ac:dyDescent="0.4">
      <c r="A47" s="10" t="s">
        <v>38</v>
      </c>
      <c r="B47" s="19">
        <v>188700</v>
      </c>
      <c r="C47" s="19">
        <v>13478.571428571429</v>
      </c>
    </row>
    <row r="48" spans="1:3" x14ac:dyDescent="0.4">
      <c r="A48" s="10" t="s">
        <v>48</v>
      </c>
      <c r="B48" s="19">
        <v>207600</v>
      </c>
      <c r="C48" s="19">
        <v>17300</v>
      </c>
    </row>
    <row r="49" spans="1:6" x14ac:dyDescent="0.4">
      <c r="A49" s="10" t="s">
        <v>53</v>
      </c>
      <c r="B49" s="19">
        <v>247500</v>
      </c>
      <c r="C49" s="19">
        <v>22500</v>
      </c>
    </row>
    <row r="50" spans="1:6" x14ac:dyDescent="0.4">
      <c r="A50" s="10" t="s">
        <v>22</v>
      </c>
      <c r="B50" s="19">
        <v>186000</v>
      </c>
      <c r="C50" s="19">
        <v>31000</v>
      </c>
    </row>
    <row r="51" spans="1:6" x14ac:dyDescent="0.4">
      <c r="A51" s="10" t="s">
        <v>210</v>
      </c>
      <c r="B51" s="19">
        <v>1009600</v>
      </c>
      <c r="C51" s="19">
        <v>16826.666666666668</v>
      </c>
    </row>
    <row r="54" spans="1:6" x14ac:dyDescent="0.4">
      <c r="A54" s="9" t="s">
        <v>222</v>
      </c>
      <c r="B54" s="9" t="s">
        <v>221</v>
      </c>
    </row>
    <row r="55" spans="1:6" x14ac:dyDescent="0.4">
      <c r="A55" s="9" t="s">
        <v>209</v>
      </c>
      <c r="B55" t="s">
        <v>208</v>
      </c>
      <c r="C55" t="s">
        <v>25</v>
      </c>
      <c r="D55" t="s">
        <v>32</v>
      </c>
      <c r="E55" t="s">
        <v>16</v>
      </c>
      <c r="F55" t="s">
        <v>210</v>
      </c>
    </row>
    <row r="56" spans="1:6" x14ac:dyDescent="0.4">
      <c r="A56" s="10" t="s">
        <v>12</v>
      </c>
      <c r="B56" s="11"/>
      <c r="C56" s="11">
        <v>11</v>
      </c>
      <c r="D56" s="11">
        <v>10</v>
      </c>
      <c r="E56" s="11">
        <v>5</v>
      </c>
      <c r="F56" s="11">
        <v>26</v>
      </c>
    </row>
    <row r="57" spans="1:6" x14ac:dyDescent="0.4">
      <c r="A57" s="10" t="s">
        <v>39</v>
      </c>
      <c r="B57" s="11">
        <v>1</v>
      </c>
      <c r="C57" s="11">
        <v>9</v>
      </c>
      <c r="D57" s="11">
        <v>2</v>
      </c>
      <c r="E57" s="11"/>
      <c r="F57" s="11">
        <v>12</v>
      </c>
    </row>
    <row r="58" spans="1:6" x14ac:dyDescent="0.4">
      <c r="A58" s="10" t="s">
        <v>33</v>
      </c>
      <c r="B58" s="11"/>
      <c r="C58" s="11">
        <v>16</v>
      </c>
      <c r="D58" s="11">
        <v>3</v>
      </c>
      <c r="E58" s="11">
        <v>3</v>
      </c>
      <c r="F58" s="11">
        <v>22</v>
      </c>
    </row>
    <row r="59" spans="1:6" x14ac:dyDescent="0.4">
      <c r="A59" s="10" t="s">
        <v>210</v>
      </c>
      <c r="B59" s="11">
        <v>1</v>
      </c>
      <c r="C59" s="11">
        <v>36</v>
      </c>
      <c r="D59" s="11">
        <v>15</v>
      </c>
      <c r="E59" s="11">
        <v>8</v>
      </c>
      <c r="F59" s="11">
        <v>60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E52-94FA-4A89-9508-C439A0555AE3}">
  <dimension ref="A1:BJ37"/>
  <sheetViews>
    <sheetView showGridLines="0" tabSelected="1" zoomScale="85" zoomScaleNormal="85" workbookViewId="0">
      <selection activeCell="J46" sqref="J46"/>
    </sheetView>
  </sheetViews>
  <sheetFormatPr defaultColWidth="2.59765625" defaultRowHeight="15" customHeight="1" x14ac:dyDescent="0.4"/>
  <sheetData>
    <row r="1" spans="1:62" ht="15" customHeight="1" x14ac:dyDescent="0.4">
      <c r="A1" s="18" t="s">
        <v>235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</row>
    <row r="2" spans="1:62" ht="15" customHeight="1" x14ac:dyDescent="0.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</row>
    <row r="3" spans="1:62" ht="15" customHeight="1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 ht="15" customHeight="1" x14ac:dyDescent="0.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 ht="15" customHeight="1" x14ac:dyDescent="0.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 ht="15" customHeight="1" x14ac:dyDescent="0.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 ht="15" customHeight="1" x14ac:dyDescent="0.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 ht="15" customHeight="1" x14ac:dyDescent="0.4">
      <c r="A8" s="17" t="s">
        <v>232</v>
      </c>
      <c r="B8" s="17"/>
      <c r="C8" s="17"/>
      <c r="D8" s="17"/>
      <c r="E8" s="17"/>
      <c r="F8" s="17"/>
      <c r="G8" s="17"/>
      <c r="H8" s="17" t="s">
        <v>234</v>
      </c>
      <c r="I8" s="17"/>
      <c r="J8" s="17"/>
      <c r="K8" s="17"/>
      <c r="L8" s="17"/>
      <c r="M8" s="17"/>
      <c r="N8" s="17"/>
      <c r="O8" s="17" t="s">
        <v>228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 t="s">
        <v>229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 t="s">
        <v>230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 t="s">
        <v>236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</row>
    <row r="9" spans="1:62" ht="15" customHeight="1" x14ac:dyDescent="0.4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</row>
    <row r="10" spans="1:62" ht="15" customHeight="1" x14ac:dyDescent="0.4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" customHeight="1" x14ac:dyDescent="0.4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" customHeight="1" x14ac:dyDescent="0.4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" customHeight="1" x14ac:dyDescent="0.4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" customHeight="1" x14ac:dyDescent="0.4">
      <c r="A14" s="17" t="s">
        <v>231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" customHeight="1" x14ac:dyDescent="0.4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" customHeight="1" x14ac:dyDescent="0.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" customHeight="1" x14ac:dyDescent="0.4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" customHeight="1" x14ac:dyDescent="0.4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" customHeight="1" x14ac:dyDescent="0.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" customHeight="1" x14ac:dyDescent="0.4">
      <c r="A20" s="20" t="s">
        <v>238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 t="s">
        <v>239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</row>
    <row r="21" spans="1:62" ht="15" customHeight="1" x14ac:dyDescent="0.4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</row>
    <row r="22" spans="1:62" ht="15" customHeight="1" x14ac:dyDescent="0.4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" customHeight="1" x14ac:dyDescent="0.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" customHeight="1" x14ac:dyDescent="0.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" customHeight="1" x14ac:dyDescent="0.4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" customHeight="1" x14ac:dyDescent="0.4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" customHeight="1" x14ac:dyDescent="0.4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" customHeight="1" x14ac:dyDescent="0.4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" customHeight="1" x14ac:dyDescent="0.4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" customHeight="1" x14ac:dyDescent="0.4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" customHeight="1" x14ac:dyDescent="0.4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" customHeight="1" x14ac:dyDescent="0.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" customHeight="1" x14ac:dyDescent="0.4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" customHeight="1" x14ac:dyDescent="0.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" customHeight="1" x14ac:dyDescent="0.4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" customHeight="1" x14ac:dyDescent="0.4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" customHeight="1" x14ac:dyDescent="0.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</sheetData>
  <mergeCells count="20">
    <mergeCell ref="A20:AE21"/>
    <mergeCell ref="A22:AE37"/>
    <mergeCell ref="AF20:BJ21"/>
    <mergeCell ref="AF22:BJ37"/>
    <mergeCell ref="AA8:AL9"/>
    <mergeCell ref="AM8:AX9"/>
    <mergeCell ref="A8:G9"/>
    <mergeCell ref="H8:N9"/>
    <mergeCell ref="A14:N15"/>
    <mergeCell ref="A16:N19"/>
    <mergeCell ref="A10:G13"/>
    <mergeCell ref="H10:N13"/>
    <mergeCell ref="O10:Z19"/>
    <mergeCell ref="AA10:AL19"/>
    <mergeCell ref="AM10:AX19"/>
    <mergeCell ref="AY10:BJ19"/>
    <mergeCell ref="A1:BJ2"/>
    <mergeCell ref="A3:BJ7"/>
    <mergeCell ref="O8:Z9"/>
    <mergeCell ref="AY8:BJ9"/>
  </mergeCells>
  <phoneticPr fontId="4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9A3EAA-14A4-4F7C-A5F1-330DB3E2F7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原始表</vt:lpstr>
      <vt:lpstr>表1</vt:lpstr>
      <vt:lpstr>透视表</vt:lpstr>
      <vt:lpstr>看板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s</dc:creator>
  <cp:lastModifiedBy>lin s</cp:lastModifiedBy>
  <dcterms:created xsi:type="dcterms:W3CDTF">2025-11-07T00:27:38Z</dcterms:created>
  <dcterms:modified xsi:type="dcterms:W3CDTF">2025-11-07T09:08:04Z</dcterms:modified>
</cp:coreProperties>
</file>